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epehr\Desktop\"/>
    </mc:Choice>
  </mc:AlternateContent>
  <xr:revisionPtr revIDLastSave="0" documentId="13_ncr:1_{BFB11643-9FCB-44A4-9F67-50F811EEC732}" xr6:coauthVersionLast="47" xr6:coauthVersionMax="47" xr10:uidLastSave="{00000000-0000-0000-0000-000000000000}"/>
  <bookViews>
    <workbookView xWindow="-120" yWindow="-120" windowWidth="29040" windowHeight="15720" xr2:uid="{1E8AD0C3-00DF-4E9A-8917-BC80BF8BD03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A3" i="1" s="1"/>
  <c r="A4" i="1" s="1"/>
  <c r="A5" i="1"/>
  <c r="A6" i="1" s="1"/>
  <c r="A7" i="1" s="1"/>
  <c r="A8" i="1" s="1"/>
  <c r="A9" i="1" s="1"/>
  <c r="A10" i="1"/>
  <c r="A11" i="1"/>
  <c r="A12" i="1"/>
  <c r="A13" i="1"/>
  <c r="A14" i="1"/>
  <c r="A15" i="1"/>
  <c r="A16" i="1"/>
  <c r="A17" i="1"/>
  <c r="A18" i="1"/>
  <c r="A19" i="1" s="1"/>
  <c r="A20" i="1" s="1"/>
  <c r="A21" i="1"/>
  <c r="A22" i="1" s="1"/>
  <c r="A23" i="1" s="1"/>
  <c r="A24" i="1" s="1"/>
  <c r="A25" i="1" s="1"/>
  <c r="A26" i="1"/>
  <c r="A27" i="1"/>
  <c r="A28" i="1" s="1"/>
  <c r="A29" i="1" s="1"/>
  <c r="A30" i="1" s="1"/>
  <c r="A31" i="1" s="1"/>
  <c r="A32" i="1"/>
  <c r="A33" i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925" i="1"/>
  <c r="A928" i="1"/>
  <c r="A929" i="1"/>
  <c r="E1061" i="1"/>
  <c r="J1061" i="1" s="1"/>
  <c r="D822" i="1"/>
  <c r="B731" i="1"/>
  <c r="D258" i="1"/>
  <c r="B732" i="1" l="1"/>
  <c r="A732" i="1" s="1"/>
  <c r="A731" i="1"/>
  <c r="D1061" i="1"/>
  <c r="B733" i="1" l="1"/>
  <c r="A733" i="1" s="1"/>
  <c r="B734" i="1"/>
  <c r="A734" i="1" s="1"/>
  <c r="B735" i="1" l="1"/>
  <c r="A735" i="1" s="1"/>
  <c r="B736" i="1" l="1"/>
  <c r="A736" i="1" s="1"/>
  <c r="B737" i="1" l="1"/>
  <c r="A737" i="1" s="1"/>
  <c r="B738" i="1" l="1"/>
  <c r="A738" i="1" s="1"/>
  <c r="B739" i="1" l="1"/>
  <c r="A739" i="1" s="1"/>
  <c r="B740" i="1" l="1"/>
  <c r="A740" i="1" s="1"/>
  <c r="B741" i="1" l="1"/>
  <c r="A741" i="1" s="1"/>
  <c r="B742" i="1" l="1"/>
  <c r="A742" i="1" s="1"/>
  <c r="B743" i="1" l="1"/>
  <c r="A743" i="1" s="1"/>
  <c r="B744" i="1" l="1"/>
  <c r="A744" i="1" s="1"/>
  <c r="B745" i="1" l="1"/>
  <c r="A745" i="1" s="1"/>
  <c r="B746" i="1" l="1"/>
  <c r="A746" i="1" s="1"/>
  <c r="B747" i="1" l="1"/>
  <c r="A747" i="1" s="1"/>
  <c r="B748" i="1" l="1"/>
  <c r="A748" i="1" s="1"/>
  <c r="B749" i="1" l="1"/>
  <c r="A749" i="1" s="1"/>
  <c r="B750" i="1" l="1"/>
  <c r="A750" i="1" s="1"/>
  <c r="B751" i="1" l="1"/>
  <c r="A751" i="1" s="1"/>
  <c r="B752" i="1" l="1"/>
  <c r="A752" i="1" s="1"/>
  <c r="B753" i="1" l="1"/>
  <c r="A753" i="1" s="1"/>
  <c r="B754" i="1" l="1"/>
  <c r="A754" i="1" s="1"/>
  <c r="B755" i="1" l="1"/>
  <c r="A755" i="1" s="1"/>
  <c r="B756" i="1" l="1"/>
  <c r="A756" i="1" s="1"/>
  <c r="B757" i="1" l="1"/>
  <c r="A757" i="1" s="1"/>
  <c r="B758" i="1" l="1"/>
  <c r="A758" i="1" s="1"/>
  <c r="B759" i="1" l="1"/>
  <c r="A759" i="1" s="1"/>
  <c r="B760" i="1" l="1"/>
  <c r="A760" i="1" s="1"/>
  <c r="B761" i="1" l="1"/>
  <c r="A761" i="1" s="1"/>
  <c r="B762" i="1" l="1"/>
  <c r="A762" i="1" s="1"/>
  <c r="B763" i="1" l="1"/>
  <c r="A763" i="1" s="1"/>
  <c r="B764" i="1" l="1"/>
  <c r="A764" i="1" s="1"/>
  <c r="B765" i="1" l="1"/>
  <c r="A765" i="1" s="1"/>
  <c r="B766" i="1" l="1"/>
  <c r="A766" i="1" s="1"/>
  <c r="B767" i="1" l="1"/>
  <c r="A767" i="1" s="1"/>
  <c r="B768" i="1" l="1"/>
  <c r="A768" i="1" s="1"/>
  <c r="B769" i="1" l="1"/>
  <c r="A769" i="1" s="1"/>
  <c r="B770" i="1" l="1"/>
  <c r="A770" i="1" s="1"/>
  <c r="B771" i="1" l="1"/>
  <c r="A771" i="1" s="1"/>
  <c r="B772" i="1" l="1"/>
  <c r="A772" i="1" s="1"/>
  <c r="B773" i="1" l="1"/>
  <c r="A773" i="1" s="1"/>
  <c r="B774" i="1" l="1"/>
  <c r="A774" i="1" s="1"/>
  <c r="B775" i="1" l="1"/>
  <c r="A775" i="1" s="1"/>
  <c r="B776" i="1" l="1"/>
  <c r="A776" i="1" s="1"/>
  <c r="B777" i="1" l="1"/>
  <c r="A777" i="1" s="1"/>
  <c r="B778" i="1" l="1"/>
  <c r="A778" i="1" s="1"/>
  <c r="B779" i="1" l="1"/>
  <c r="A779" i="1" s="1"/>
  <c r="B780" i="1" l="1"/>
  <c r="A780" i="1" s="1"/>
  <c r="B781" i="1" l="1"/>
  <c r="A781" i="1" s="1"/>
  <c r="B782" i="1" l="1"/>
  <c r="A782" i="1" s="1"/>
  <c r="B783" i="1" l="1"/>
  <c r="A783" i="1" s="1"/>
  <c r="B784" i="1" l="1"/>
  <c r="A784" i="1" s="1"/>
  <c r="B785" i="1" l="1"/>
  <c r="A785" i="1" s="1"/>
  <c r="B786" i="1" l="1"/>
  <c r="A786" i="1" s="1"/>
  <c r="B787" i="1" l="1"/>
  <c r="A787" i="1" s="1"/>
  <c r="B788" i="1" l="1"/>
  <c r="A788" i="1" s="1"/>
  <c r="B789" i="1" l="1"/>
  <c r="A789" i="1" s="1"/>
  <c r="B790" i="1" l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</calcChain>
</file>

<file path=xl/sharedStrings.xml><?xml version="1.0" encoding="utf-8"?>
<sst xmlns="http://schemas.openxmlformats.org/spreadsheetml/2006/main" count="3189" uniqueCount="123">
  <si>
    <t>کد کوپ</t>
  </si>
  <si>
    <t>تاریخ ورود</t>
  </si>
  <si>
    <t>وزن</t>
  </si>
  <si>
    <t>طول کوپ</t>
  </si>
  <si>
    <t>عرض کوپ</t>
  </si>
  <si>
    <t>ارتفاع کوپ</t>
  </si>
  <si>
    <t>نام مالک</t>
  </si>
  <si>
    <t>نوع کوپ</t>
  </si>
  <si>
    <t>نام کوپ</t>
  </si>
  <si>
    <t>نوساز</t>
  </si>
  <si>
    <t>مرمریت</t>
  </si>
  <si>
    <t>سیلور اسکای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</si>
  <si>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</si>
  <si>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</si>
  <si>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</si>
  <si>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</si>
  <si>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</si>
  <si>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</si>
  <si>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</si>
  <si>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</si>
  <si>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</si>
  <si>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وحید وطن خواه</t>
  </si>
  <si>
    <t>لاشتر</t>
  </si>
  <si>
    <t>حافظ القران</t>
  </si>
  <si>
    <t>اونیکس</t>
  </si>
  <si>
    <t>سفید</t>
  </si>
  <si>
    <t>حسن بلخاری</t>
  </si>
  <si>
    <t>چینی</t>
  </si>
  <si>
    <t>نیریز</t>
  </si>
  <si>
    <t>سبز</t>
  </si>
  <si>
    <t>آبی کاربنی</t>
  </si>
  <si>
    <t>سبز موجدار</t>
  </si>
  <si>
    <t>وطنخواه</t>
  </si>
  <si>
    <t>پرتقالی</t>
  </si>
  <si>
    <t>تراورتن</t>
  </si>
  <si>
    <t>کرم-شکلاتی</t>
  </si>
  <si>
    <t>حاج اکبر سلطانی</t>
  </si>
  <si>
    <t xml:space="preserve">تراورتن </t>
  </si>
  <si>
    <t>قرمز آذر شهر</t>
  </si>
  <si>
    <t>صورتی</t>
  </si>
  <si>
    <t>تکاب کرم</t>
  </si>
  <si>
    <t>سیاحی</t>
  </si>
  <si>
    <t>شکلاتی</t>
  </si>
  <si>
    <t>سیاهی</t>
  </si>
  <si>
    <t>علی ربانی</t>
  </si>
  <si>
    <t>مشکی</t>
  </si>
  <si>
    <t>آباده - کرم</t>
  </si>
  <si>
    <t>ایمان لرزاده</t>
  </si>
  <si>
    <t>مشکی - گلپایگان</t>
  </si>
  <si>
    <t>دودی</t>
  </si>
  <si>
    <t>حجت قدیری</t>
  </si>
  <si>
    <t>قرمز</t>
  </si>
  <si>
    <t>نریمانی</t>
  </si>
  <si>
    <t>گوهره</t>
  </si>
  <si>
    <t>ربانی</t>
  </si>
  <si>
    <t>خرم اباد</t>
  </si>
  <si>
    <t>خانم رضایی</t>
  </si>
  <si>
    <t>هوازاده</t>
  </si>
  <si>
    <t>رنگین کمان</t>
  </si>
  <si>
    <t>خان احمدی</t>
  </si>
  <si>
    <t>پرشین سیلک</t>
  </si>
  <si>
    <t>عطار</t>
  </si>
  <si>
    <t>الیگودرز</t>
  </si>
  <si>
    <t>رحمانی</t>
  </si>
  <si>
    <t>عباس اباد</t>
  </si>
  <si>
    <t>ازنا</t>
  </si>
  <si>
    <t>لرزاده</t>
  </si>
  <si>
    <t>حاج عباسعلی</t>
  </si>
  <si>
    <t>مشکی طبس</t>
  </si>
  <si>
    <t>طهماسبی</t>
  </si>
  <si>
    <t>قروه</t>
  </si>
  <si>
    <t>کرم همدان</t>
  </si>
  <si>
    <t>کوهی</t>
  </si>
  <si>
    <t>خرمایی</t>
  </si>
  <si>
    <t>مجتبی عموتقی</t>
  </si>
  <si>
    <t>3D black</t>
  </si>
  <si>
    <t>کرم</t>
  </si>
  <si>
    <t>فرزاد حاج هاشمی</t>
  </si>
  <si>
    <t>یاقوت</t>
  </si>
  <si>
    <t>مشکی  مشارکت</t>
  </si>
  <si>
    <t>زاهدان مشارکت</t>
  </si>
  <si>
    <t>سایمون</t>
  </si>
  <si>
    <t>محمد صدیقی</t>
  </si>
  <si>
    <t>دهبید</t>
  </si>
  <si>
    <t>کشاورز</t>
  </si>
  <si>
    <t>همتی</t>
  </si>
  <si>
    <t>مشکی فندی</t>
  </si>
  <si>
    <t>نجف اباد</t>
  </si>
  <si>
    <t>جندق</t>
  </si>
  <si>
    <t xml:space="preserve">مشکی ماکو </t>
  </si>
  <si>
    <t>ترکیه مارمارا</t>
  </si>
  <si>
    <t>لوشان</t>
  </si>
  <si>
    <t xml:space="preserve">مشکی </t>
  </si>
  <si>
    <t>مشکی ماکیا</t>
  </si>
  <si>
    <t>کریمی</t>
  </si>
  <si>
    <t>دهقانی</t>
  </si>
  <si>
    <t>دهقان</t>
  </si>
  <si>
    <t>ازنا(لاشه)</t>
  </si>
  <si>
    <t>نوربخش</t>
  </si>
  <si>
    <t>کرم احرار</t>
  </si>
  <si>
    <t>حسام قپانی</t>
  </si>
  <si>
    <t>بسطام</t>
  </si>
  <si>
    <t>مختاری</t>
  </si>
  <si>
    <t xml:space="preserve">قرمز حجت قدیری </t>
  </si>
  <si>
    <t xml:space="preserve">حجت قدیری </t>
  </si>
  <si>
    <t>لشنی امانی</t>
  </si>
  <si>
    <t>الیگودرز صالحی</t>
  </si>
  <si>
    <t>ازنا قاسم لشنی</t>
  </si>
  <si>
    <t>فریدونی</t>
  </si>
  <si>
    <t>الیگودرز  فریدونی</t>
  </si>
  <si>
    <t>ازنا امینی</t>
  </si>
  <si>
    <t xml:space="preserve">نوساز </t>
  </si>
  <si>
    <t>ازنا کشاورز -بهسامان</t>
  </si>
  <si>
    <t xml:space="preserve">ازنا جمشیدی </t>
  </si>
  <si>
    <t>محمود کریمی</t>
  </si>
  <si>
    <t>نجف اباد جدید</t>
  </si>
  <si>
    <t>ازنا نصرت لشنی</t>
  </si>
  <si>
    <t>ازنا  کشاورز معدن</t>
  </si>
  <si>
    <t>الیگودرز اوپال</t>
  </si>
  <si>
    <t>پرشین سیلک محمد جانی</t>
  </si>
  <si>
    <t>Total</t>
  </si>
  <si>
    <t>موجودی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</si>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</sst>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160429]d\ mmmm\ yyyy;@"/>
    <numFmt numFmtId="165" formatCode="[$-960429]yyyy/mm/dd;@"/>
    <numFmt numFmtId="166" formatCode="[$-160429]yyyy/mm/dd;@"/>
    <numFmt numFmtId="167" formatCode="_ * #,##0.000_-_ ;_ * #,##0.000\-_ ;_ * &quot;-&quot;??_-_ ;_ @_ "/>
    <numFmt numFmtId="168" formatCode="0.000"/>
  </numFmts>
  <fonts count="7">
    <font>
      <sz val="11"/>
      <color theme="1"/>
      <name val="Calibri"/>
      <family val="2"/>
      <scheme val="minor"/>
    </font>
    <font>
      <sz val="18"/>
      <color theme="1"/>
      <name val="B Traffic"/>
      <charset val="178"/>
    </font>
    <font>
      <sz val="18"/>
      <color theme="1"/>
      <name val="Calibri"/>
      <family val="2"/>
      <charset val="178"/>
      <scheme val="minor"/>
    </font>
    <font>
      <sz val="14"/>
      <color theme="1"/>
      <name val="B Traffic"/>
      <charset val="178"/>
    </font>
    <font>
      <sz val="16"/>
      <color theme="1"/>
      <name val="B Traffic"/>
      <charset val="178"/>
    </font>
    <font>
      <sz val="11"/>
      <color theme="1"/>
      <name val="B Traffic"/>
      <charset val="178"/>
    </font>
    <font>
      <sz val="20"/>
      <color theme="1"/>
      <name val="B Traffic"/>
      <charset val="17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3" fillId="0" borderId="2" xfId="0" applyFont="1" applyBorder="1"/>
    <xf numFmtId="166" fontId="3" fillId="0" borderId="2" xfId="0" applyNumberFormat="1" applyFont="1" applyBorder="1" applyAlignment="1">
      <alignment readingOrder="2"/>
    </xf>
    <xf numFmtId="167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right"/>
    </xf>
    <xf numFmtId="0" fontId="3" fillId="0" borderId="1" xfId="0" applyFont="1" applyBorder="1"/>
    <xf numFmtId="166" fontId="3" fillId="0" borderId="1" xfId="0" applyNumberFormat="1" applyFont="1" applyBorder="1" applyAlignment="1">
      <alignment readingOrder="2"/>
    </xf>
    <xf numFmtId="167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right"/>
    </xf>
    <xf numFmtId="0" fontId="3" fillId="0" borderId="3" xfId="0" applyFont="1" applyBorder="1"/>
    <xf numFmtId="166" fontId="3" fillId="0" borderId="1" xfId="0" applyNumberFormat="1" applyFont="1" applyBorder="1" applyAlignment="1">
      <alignment horizontal="right" readingOrder="2"/>
    </xf>
    <xf numFmtId="0" fontId="3" fillId="0" borderId="1" xfId="0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168" fontId="3" fillId="0" borderId="1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right" vertical="center"/>
    </xf>
    <xf numFmtId="166" fontId="3" fillId="0" borderId="3" xfId="0" applyNumberFormat="1" applyFont="1" applyBorder="1" applyAlignment="1">
      <alignment readingOrder="2"/>
    </xf>
    <xf numFmtId="167" fontId="3" fillId="0" borderId="3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right" vertical="center"/>
    </xf>
    <xf numFmtId="0" fontId="3" fillId="0" borderId="3" xfId="0" applyFont="1" applyBorder="1" applyAlignment="1">
      <alignment horizontal="right"/>
    </xf>
    <xf numFmtId="0" fontId="3" fillId="0" borderId="2" xfId="0" applyFont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/>
    <xf numFmtId="167" fontId="4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right"/>
    </xf>
    <xf numFmtId="0" fontId="6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165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B Traffic"/>
        <charset val="178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B Traffic"/>
        <charset val="178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Traffic"/>
        <charset val="178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Traffic"/>
        <charset val="178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Traffic"/>
        <charset val="178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B Traffic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B Traffic"/>
        <charset val="178"/>
        <scheme val="none"/>
      </font>
      <numFmt numFmtId="167" formatCode="_ * #,##0.000_-_ ;_ * #,##0.000\-_ ;_ * &quot;-&quot;??_-_ ;_ 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Traffic"/>
        <charset val="178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Traffic"/>
        <charset val="178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B Traffic"/>
        <charset val="17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B Traffic"/>
        <charset val="178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B Traffic"/>
        <charset val="178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B Traffic"/>
        <charset val="178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B Traffic"/>
        <charset val="178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B Traffic"/>
        <charset val="178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B Traffic"/>
        <charset val="178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B Traffic"/>
        <charset val="178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B Traffic"/>
        <charset val="178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B Traffic"/>
        <charset val="178"/>
        <scheme val="none"/>
      </font>
      <numFmt numFmtId="166" formatCode="[$-160429]yyyy/mm/dd;@"/>
      <alignment horizontal="general" vertical="bottom" textRotation="0" wrapText="0" indent="0" justifyLastLine="0" shrinkToFit="0" readingOrder="2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B Traffic"/>
        <charset val="178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4"/>
        <color theme="1"/>
        <name val="B Traffic"/>
        <charset val="178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B Traffic"/>
        <charset val="178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039621-3248-45DB-B3D8-F35A7047FA2F}" name="Table1" displayName="Table1" ref="A1:J1061" totalsRowCount="1" headerRowDxfId="23" dataDxfId="21" headerRowBorderDxfId="22" totalsRowBorderDxfId="20">
  <autoFilter ref="A1:J1060" xr:uid="{74039621-3248-45DB-B3D8-F35A7047FA2F}">
    <filterColumn colId="8">
      <filters>
        <filter val="جینی"/>
        <filter val="چینی"/>
      </filters>
    </filterColumn>
  </autoFilter>
  <tableColumns count="10">
    <tableColumn id="1" xr3:uid="{2F16785D-E245-4B17-A54B-9CD447D22F53}" name="id" totalsRowLabel="Total" dataDxfId="10" totalsRowDxfId="9"/>
    <tableColumn id="2" xr3:uid="{240C1E7A-D8B8-451C-9B55-EC6A36212583}" name="کد کوپ" dataDxfId="19" totalsRowDxfId="8"/>
    <tableColumn id="3" xr3:uid="{80FFB7E8-F790-428A-A2A1-6D9CEEB6FDFD}" name="تاریخ ورود" dataDxfId="18" totalsRowDxfId="7"/>
    <tableColumn id="6" xr3:uid="{3FF28E25-31E6-4951-B012-D99CF95837F7}" name="وزن" totalsRowFunction="sum" dataDxfId="17" totalsRowDxfId="6"/>
    <tableColumn id="7" xr3:uid="{0EF1DFE2-D256-49EB-B435-B424E9772146}" name="طول کوپ" totalsRowFunction="count" dataDxfId="16" totalsRowDxfId="5"/>
    <tableColumn id="8" xr3:uid="{69D59061-C4A8-4B3C-ADF1-D7C55D1DCFF2}" name="عرض کوپ" dataDxfId="15" totalsRowDxfId="4"/>
    <tableColumn id="9" xr3:uid="{62EE9003-F253-4D01-B6DF-77E49AE42B91}" name="ارتفاع کوپ" dataDxfId="14" totalsRowDxfId="3"/>
    <tableColumn id="10" xr3:uid="{004BCFA8-3A93-44C6-8282-51A8ED3A6A03}" name="نام مالک" dataDxfId="13" totalsRowDxfId="2"/>
    <tableColumn id="11" xr3:uid="{A60EDBC0-A3F6-48F5-8514-FF050E8FF7B3}" name="نوع کوپ" totalsRowLabel="موجودی" dataDxfId="12" totalsRowDxfId="1"/>
    <tableColumn id="12" xr3:uid="{45904102-0B78-4E20-9843-2A3DF87C4DD4}" name="نام کوپ" totalsRowFunction="custom" dataDxfId="11" totalsRowDxfId="0">
      <totalsRowFormula>Table1[[#Totals],[طول کوپ]]-#REF!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F9971-EEAA-4AB6-A3E6-62AF84E19EFB}">
  <dimension ref="A1:V1061"/>
  <sheetViews>
    <sheetView rightToLeft="1" tabSelected="1" workbookViewId="0">
      <selection sqref="A1:J1"/>
    </sheetView>
  </sheetViews>
  <sheetFormatPr defaultRowHeight="15"/>
  <cols>
    <col min="1" max="1" width="10.5703125" customWidth="1"/>
    <col min="2" max="2" width="13.85546875" bestFit="1" customWidth="1"/>
    <col min="3" max="3" width="16.28515625" style="29" bestFit="1" customWidth="1"/>
    <col min="4" max="4" width="18.42578125" style="30" bestFit="1" customWidth="1"/>
    <col min="5" max="5" width="15.85546875" style="31" bestFit="1" customWidth="1"/>
    <col min="6" max="7" width="17.42578125" style="31" bestFit="1" customWidth="1"/>
    <col min="8" max="8" width="16" bestFit="1" customWidth="1"/>
    <col min="9" max="9" width="14.42578125" bestFit="1" customWidth="1"/>
    <col min="10" max="10" width="22.42578125" bestFit="1" customWidth="1"/>
    <col min="11" max="11" width="13.85546875" style="32" bestFit="1" customWidth="1"/>
    <col min="12" max="12" width="12.140625" bestFit="1" customWidth="1"/>
    <col min="13" max="13" width="13" bestFit="1" customWidth="1"/>
    <col min="14" max="14" width="14.85546875" bestFit="1" customWidth="1"/>
    <col min="15" max="15" width="12.5703125" bestFit="1" customWidth="1"/>
    <col min="16" max="16" width="14.42578125" bestFit="1" customWidth="1"/>
    <col min="17" max="17" width="24.42578125" bestFit="1" customWidth="1"/>
    <col min="18" max="18" width="26.7109375" bestFit="1" customWidth="1"/>
    <col min="19" max="19" width="26.7109375" customWidth="1"/>
    <col min="20" max="20" width="17.5703125" bestFit="1" customWidth="1"/>
    <col min="21" max="22" width="26.7109375" style="33" customWidth="1"/>
    <col min="23" max="23" width="26.7109375" customWidth="1"/>
    <col min="24" max="24" width="3" bestFit="1" customWidth="1"/>
  </cols>
  <sheetData>
    <row r="1" spans="1:22" s="4" customFormat="1" ht="57" customHeight="1">
      <c r="A1" s="1" t="s">
        <v>122</v>
      </c>
      <c r="B1" s="1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6</v>
      </c>
      <c r="I1" s="1" t="s">
        <v>7</v>
      </c>
      <c r="J1" s="1" t="s">
        <v>8</v>
      </c>
    </row>
    <row r="2" spans="1:22" ht="18" hidden="1">
      <c r="A2" s="5">
        <f>IF(Table1[[#This Row],[کد کوپ]]&lt;1,0,1)</f>
        <v>1</v>
      </c>
      <c r="B2" s="5">
        <v>3819</v>
      </c>
      <c r="C2" s="6">
        <v>45040</v>
      </c>
      <c r="D2" s="7">
        <v>20.87</v>
      </c>
      <c r="E2" s="8">
        <v>2.85</v>
      </c>
      <c r="F2" s="8">
        <v>1.97</v>
      </c>
      <c r="G2" s="8">
        <v>1.54</v>
      </c>
      <c r="H2" s="5" t="s">
        <v>9</v>
      </c>
      <c r="I2" s="5" t="s">
        <v>10</v>
      </c>
      <c r="J2" s="5" t="s">
        <v>11</v>
      </c>
      <c r="K2" t="s">
        <v>12</v>
      </c>
      <c r="U2"/>
      <c r="V2"/>
    </row>
    <row r="3" spans="1:22" ht="18" hidden="1">
      <c r="A3" s="9">
        <f>IF(Table1[[#This Row],[کد کوپ]]&lt;1,0,A2+1)</f>
        <v>2</v>
      </c>
      <c r="B3" s="9">
        <v>3823</v>
      </c>
      <c r="C3" s="10">
        <v>45040</v>
      </c>
      <c r="D3" s="11">
        <v>24.63</v>
      </c>
      <c r="E3" s="12">
        <v>3</v>
      </c>
      <c r="F3" s="12">
        <v>1.8</v>
      </c>
      <c r="G3" s="12">
        <v>1.67</v>
      </c>
      <c r="H3" s="9" t="s">
        <v>9</v>
      </c>
      <c r="I3" s="9" t="s">
        <v>10</v>
      </c>
      <c r="J3" s="9" t="s">
        <v>11</v>
      </c>
      <c r="K3" t="s">
        <v>13</v>
      </c>
      <c r="U3"/>
      <c r="V3"/>
    </row>
    <row r="4" spans="1:22" ht="18" hidden="1">
      <c r="A4" s="9">
        <f>IF(Table1[[#This Row],[کد کوپ]]&lt;1,0,A3+1)</f>
        <v>3</v>
      </c>
      <c r="B4" s="9">
        <v>3860</v>
      </c>
      <c r="C4" s="10">
        <v>45057</v>
      </c>
      <c r="D4" s="11">
        <v>16.795000000000002</v>
      </c>
      <c r="E4" s="12">
        <v>2.9</v>
      </c>
      <c r="F4" s="12">
        <v>1.55</v>
      </c>
      <c r="G4" s="12">
        <v>1.4</v>
      </c>
      <c r="H4" s="9" t="s">
        <v>9</v>
      </c>
      <c r="I4" s="9" t="s">
        <v>10</v>
      </c>
      <c r="J4" s="9" t="s">
        <v>11</v>
      </c>
      <c r="K4" t="s">
        <v>14</v>
      </c>
      <c r="U4"/>
      <c r="V4"/>
    </row>
    <row r="5" spans="1:22" ht="18" hidden="1">
      <c r="A5" s="9">
        <f>IF(Table1[[#This Row],[کد کوپ]]&lt;1,0,A4+1)</f>
        <v>4</v>
      </c>
      <c r="B5" s="9">
        <v>3867</v>
      </c>
      <c r="C5" s="10">
        <v>45061</v>
      </c>
      <c r="D5" s="11">
        <v>25.18</v>
      </c>
      <c r="E5" s="12">
        <v>2.93</v>
      </c>
      <c r="F5" s="12">
        <v>1.77</v>
      </c>
      <c r="G5" s="12">
        <v>1.68</v>
      </c>
      <c r="H5" s="9" t="s">
        <v>9</v>
      </c>
      <c r="I5" s="9" t="s">
        <v>10</v>
      </c>
      <c r="J5" s="9" t="s">
        <v>11</v>
      </c>
      <c r="K5" t="s">
        <v>15</v>
      </c>
      <c r="U5"/>
      <c r="V5"/>
    </row>
    <row r="6" spans="1:22" ht="18" hidden="1">
      <c r="A6" s="9">
        <f>IF(Table1[[#This Row],[کد کوپ]]&lt;1,0,A5+1)</f>
        <v>5</v>
      </c>
      <c r="B6" s="9">
        <v>3869</v>
      </c>
      <c r="C6" s="10">
        <v>45062</v>
      </c>
      <c r="D6" s="11">
        <v>8.9700000000000006</v>
      </c>
      <c r="E6" s="12">
        <v>1.78</v>
      </c>
      <c r="F6" s="12">
        <v>1.66</v>
      </c>
      <c r="G6" s="12">
        <v>11.8</v>
      </c>
      <c r="H6" s="9" t="s">
        <v>9</v>
      </c>
      <c r="I6" s="9" t="s">
        <v>10</v>
      </c>
      <c r="J6" s="9" t="s">
        <v>11</v>
      </c>
      <c r="K6" t="s">
        <v>16</v>
      </c>
      <c r="U6"/>
      <c r="V6"/>
    </row>
    <row r="7" spans="1:22" ht="18" hidden="1">
      <c r="A7" s="9">
        <f>IF(Table1[[#This Row],[کد کوپ]]&lt;1,0,A6+1)</f>
        <v>6</v>
      </c>
      <c r="B7" s="9">
        <v>3874</v>
      </c>
      <c r="C7" s="10">
        <v>45063</v>
      </c>
      <c r="D7" s="11">
        <v>26.215</v>
      </c>
      <c r="E7" s="12">
        <v>2.92</v>
      </c>
      <c r="F7" s="12">
        <v>1.82</v>
      </c>
      <c r="G7" s="12">
        <v>1.76</v>
      </c>
      <c r="H7" s="9" t="s">
        <v>9</v>
      </c>
      <c r="I7" s="9" t="s">
        <v>10</v>
      </c>
      <c r="J7" s="9" t="s">
        <v>11</v>
      </c>
      <c r="K7" t="s">
        <v>17</v>
      </c>
      <c r="U7"/>
      <c r="V7"/>
    </row>
    <row r="8" spans="1:22" ht="18" hidden="1">
      <c r="A8" s="9">
        <f>IF(Table1[[#This Row],[کد کوپ]]&lt;1,0,A7+1)</f>
        <v>7</v>
      </c>
      <c r="B8" s="9">
        <v>3894</v>
      </c>
      <c r="C8" s="10">
        <v>45070</v>
      </c>
      <c r="D8" s="11">
        <v>15.945</v>
      </c>
      <c r="E8" s="12">
        <v>2.56</v>
      </c>
      <c r="F8" s="12">
        <v>1.7</v>
      </c>
      <c r="G8" s="12">
        <v>1.45</v>
      </c>
      <c r="H8" s="9" t="s">
        <v>9</v>
      </c>
      <c r="I8" s="9" t="s">
        <v>10</v>
      </c>
      <c r="J8" s="9" t="s">
        <v>11</v>
      </c>
      <c r="K8" t="s">
        <v>18</v>
      </c>
      <c r="U8"/>
      <c r="V8"/>
    </row>
    <row r="9" spans="1:22" ht="18" hidden="1">
      <c r="A9" s="9">
        <f>IF(Table1[[#This Row],[کد کوپ]]&lt;1,0,A8+1)</f>
        <v>8</v>
      </c>
      <c r="B9" s="9">
        <v>3900</v>
      </c>
      <c r="C9" s="10">
        <v>45071</v>
      </c>
      <c r="D9" s="11">
        <v>9.4149999999999991</v>
      </c>
      <c r="E9" s="12">
        <v>1.7</v>
      </c>
      <c r="F9" s="12">
        <v>1.5</v>
      </c>
      <c r="G9" s="12">
        <v>1.3</v>
      </c>
      <c r="H9" s="9" t="s">
        <v>9</v>
      </c>
      <c r="I9" s="9" t="s">
        <v>10</v>
      </c>
      <c r="J9" s="9" t="s">
        <v>11</v>
      </c>
      <c r="K9" t="s">
        <v>19</v>
      </c>
      <c r="U9"/>
      <c r="V9"/>
    </row>
    <row r="10" spans="1:22" ht="18" hidden="1">
      <c r="A10" s="9">
        <f>IF(Table1[[#This Row],[کد کوپ]]&lt;1,0,A9+1)</f>
        <v>9</v>
      </c>
      <c r="B10" s="9">
        <v>3903</v>
      </c>
      <c r="C10" s="10">
        <v>45072</v>
      </c>
      <c r="D10" s="11">
        <v>22.4</v>
      </c>
      <c r="E10" s="12">
        <v>2.6</v>
      </c>
      <c r="F10" s="12">
        <v>1.8</v>
      </c>
      <c r="G10" s="12">
        <v>1.75</v>
      </c>
      <c r="H10" s="9" t="s">
        <v>9</v>
      </c>
      <c r="I10" s="9" t="s">
        <v>10</v>
      </c>
      <c r="J10" s="9" t="s">
        <v>11</v>
      </c>
      <c r="K10" t="s">
        <v>20</v>
      </c>
      <c r="U10"/>
      <c r="V10"/>
    </row>
    <row r="11" spans="1:22" ht="18" hidden="1">
      <c r="A11" s="9">
        <f>IF(Table1[[#This Row],[کد کوپ]]&lt;1,0,A10+1)</f>
        <v>10</v>
      </c>
      <c r="B11" s="9">
        <v>3926</v>
      </c>
      <c r="C11" s="10">
        <v>45077</v>
      </c>
      <c r="D11" s="11">
        <v>24.5</v>
      </c>
      <c r="E11" s="12">
        <v>2.65</v>
      </c>
      <c r="F11" s="12">
        <v>1.9</v>
      </c>
      <c r="G11" s="12">
        <v>1.8</v>
      </c>
      <c r="H11" s="9" t="s">
        <v>9</v>
      </c>
      <c r="I11" s="9" t="s">
        <v>10</v>
      </c>
      <c r="J11" s="9" t="s">
        <v>11</v>
      </c>
      <c r="K11">
        <v>10</v>
      </c>
      <c r="U11"/>
      <c r="V11"/>
    </row>
    <row r="12" spans="1:22" ht="18" hidden="1">
      <c r="A12" s="9">
        <f>IF(Table1[[#This Row],[کد کوپ]]&lt;1,0,A11+1)</f>
        <v>11</v>
      </c>
      <c r="B12" s="9">
        <v>3945</v>
      </c>
      <c r="C12" s="10">
        <v>45082</v>
      </c>
      <c r="D12" s="11">
        <v>25.545000000000002</v>
      </c>
      <c r="E12" s="12">
        <v>2.82</v>
      </c>
      <c r="F12" s="12">
        <v>1.79</v>
      </c>
      <c r="G12" s="12">
        <v>1.81</v>
      </c>
      <c r="H12" s="9" t="s">
        <v>9</v>
      </c>
      <c r="I12" s="9" t="s">
        <v>10</v>
      </c>
      <c r="J12" s="9" t="s">
        <v>11</v>
      </c>
      <c r="K12">
        <v>11</v>
      </c>
      <c r="U12"/>
      <c r="V12"/>
    </row>
    <row r="13" spans="1:22" ht="18" hidden="1">
      <c r="A13" s="9">
        <f>IF(Table1[[#This Row],[کد کوپ]]&lt;1,0,A12+1)</f>
        <v>12</v>
      </c>
      <c r="B13" s="9">
        <v>3949</v>
      </c>
      <c r="C13" s="10">
        <v>45083</v>
      </c>
      <c r="D13" s="11">
        <v>25.85</v>
      </c>
      <c r="E13" s="12">
        <v>2.99</v>
      </c>
      <c r="F13" s="12">
        <v>1.78</v>
      </c>
      <c r="G13" s="12">
        <v>1.77</v>
      </c>
      <c r="H13" s="9" t="s">
        <v>9</v>
      </c>
      <c r="I13" s="9" t="s">
        <v>10</v>
      </c>
      <c r="J13" s="9" t="s">
        <v>11</v>
      </c>
      <c r="K13">
        <v>12</v>
      </c>
      <c r="U13"/>
      <c r="V13"/>
    </row>
    <row r="14" spans="1:22" ht="18" hidden="1">
      <c r="A14" s="9">
        <f>IF(Table1[[#This Row],[کد کوپ]]&lt;1,0,A13+1)</f>
        <v>13</v>
      </c>
      <c r="B14" s="9">
        <v>3951</v>
      </c>
      <c r="C14" s="10">
        <v>45083</v>
      </c>
      <c r="D14" s="11">
        <v>23.71</v>
      </c>
      <c r="E14" s="12">
        <v>2.99</v>
      </c>
      <c r="F14" s="12">
        <v>1.79</v>
      </c>
      <c r="G14" s="12">
        <v>1.61</v>
      </c>
      <c r="H14" s="9" t="s">
        <v>9</v>
      </c>
      <c r="I14" s="9" t="s">
        <v>10</v>
      </c>
      <c r="J14" s="9" t="s">
        <v>11</v>
      </c>
      <c r="K14"/>
      <c r="U14"/>
      <c r="V14"/>
    </row>
    <row r="15" spans="1:22" ht="18" hidden="1">
      <c r="A15" s="9">
        <f>IF(Table1[[#This Row],[کد کوپ]]&lt;1,0,A14+1)</f>
        <v>14</v>
      </c>
      <c r="B15" s="9">
        <v>3952</v>
      </c>
      <c r="C15" s="10">
        <v>45083</v>
      </c>
      <c r="D15" s="11">
        <v>25.21</v>
      </c>
      <c r="E15" s="12">
        <v>2.7</v>
      </c>
      <c r="F15" s="12">
        <v>1.87</v>
      </c>
      <c r="G15" s="12">
        <v>1.72</v>
      </c>
      <c r="H15" s="9" t="s">
        <v>9</v>
      </c>
      <c r="I15" s="9" t="s">
        <v>10</v>
      </c>
      <c r="J15" s="9" t="s">
        <v>11</v>
      </c>
      <c r="K15"/>
      <c r="U15"/>
      <c r="V15"/>
    </row>
    <row r="16" spans="1:22" ht="18" hidden="1">
      <c r="A16" s="9">
        <f>IF(Table1[[#This Row],[کد کوپ]]&lt;1,0,A15+1)</f>
        <v>15</v>
      </c>
      <c r="B16" s="9">
        <v>3964</v>
      </c>
      <c r="C16" s="10">
        <v>45087</v>
      </c>
      <c r="D16" s="11">
        <v>20.99</v>
      </c>
      <c r="E16" s="12">
        <v>2.4</v>
      </c>
      <c r="F16" s="12">
        <v>1.8</v>
      </c>
      <c r="G16" s="12">
        <v>1.8</v>
      </c>
      <c r="H16" s="9" t="s">
        <v>9</v>
      </c>
      <c r="I16" s="9" t="s">
        <v>10</v>
      </c>
      <c r="J16" s="9" t="s">
        <v>11</v>
      </c>
      <c r="K16"/>
      <c r="U16"/>
      <c r="V16"/>
    </row>
    <row r="17" spans="1:22" ht="18" hidden="1">
      <c r="A17" s="9">
        <f>IF(Table1[[#This Row],[کد کوپ]]&lt;1,0,A16+1)</f>
        <v>16</v>
      </c>
      <c r="B17" s="9">
        <v>3978</v>
      </c>
      <c r="C17" s="10">
        <v>45091</v>
      </c>
      <c r="D17" s="11">
        <v>24.36</v>
      </c>
      <c r="E17" s="12">
        <v>2.67</v>
      </c>
      <c r="F17" s="12">
        <v>1.88</v>
      </c>
      <c r="G17" s="12">
        <v>1.8</v>
      </c>
      <c r="H17" s="9" t="s">
        <v>9</v>
      </c>
      <c r="I17" s="9" t="s">
        <v>10</v>
      </c>
      <c r="J17" s="9" t="s">
        <v>11</v>
      </c>
      <c r="K17"/>
      <c r="U17"/>
      <c r="V17"/>
    </row>
    <row r="18" spans="1:22" ht="18" hidden="1">
      <c r="A18" s="9">
        <f>IF(Table1[[#This Row],[کد کوپ]]&lt;1,0,A17+1)</f>
        <v>17</v>
      </c>
      <c r="B18" s="9">
        <v>3988</v>
      </c>
      <c r="C18" s="10">
        <v>45094</v>
      </c>
      <c r="D18" s="11">
        <v>27.05</v>
      </c>
      <c r="E18" s="12">
        <v>3</v>
      </c>
      <c r="F18" s="12">
        <v>1.8</v>
      </c>
      <c r="G18" s="12">
        <v>1.9</v>
      </c>
      <c r="H18" s="9" t="s">
        <v>9</v>
      </c>
      <c r="I18" s="9" t="s">
        <v>10</v>
      </c>
      <c r="J18" s="9" t="s">
        <v>11</v>
      </c>
      <c r="K18"/>
      <c r="U18"/>
      <c r="V18"/>
    </row>
    <row r="19" spans="1:22" ht="18" hidden="1">
      <c r="A19" s="9">
        <f>IF(Table1[[#This Row],[کد کوپ]]&lt;1,0,A18+1)</f>
        <v>18</v>
      </c>
      <c r="B19" s="9">
        <v>3998</v>
      </c>
      <c r="C19" s="10">
        <v>45096</v>
      </c>
      <c r="D19" s="11">
        <v>25.2</v>
      </c>
      <c r="E19" s="12">
        <v>3</v>
      </c>
      <c r="F19" s="12">
        <v>1.8</v>
      </c>
      <c r="G19" s="12">
        <v>1.7</v>
      </c>
      <c r="H19" s="9" t="s">
        <v>9</v>
      </c>
      <c r="I19" s="9" t="s">
        <v>10</v>
      </c>
      <c r="J19" s="9" t="s">
        <v>11</v>
      </c>
      <c r="K19"/>
      <c r="U19"/>
      <c r="V19"/>
    </row>
    <row r="20" spans="1:22" ht="18" hidden="1">
      <c r="A20" s="9">
        <f>IF(Table1[[#This Row],[کد کوپ]]&lt;1,0,A19+1)</f>
        <v>19</v>
      </c>
      <c r="B20" s="9">
        <v>4014</v>
      </c>
      <c r="C20" s="10">
        <v>45129</v>
      </c>
      <c r="D20" s="11">
        <v>25.68</v>
      </c>
      <c r="E20" s="12">
        <v>2.9</v>
      </c>
      <c r="F20" s="12">
        <v>1.9</v>
      </c>
      <c r="G20" s="12">
        <v>1.8</v>
      </c>
      <c r="H20" s="9" t="s">
        <v>9</v>
      </c>
      <c r="I20" s="9" t="s">
        <v>10</v>
      </c>
      <c r="J20" s="9" t="s">
        <v>11</v>
      </c>
      <c r="K20"/>
      <c r="U20"/>
      <c r="V20"/>
    </row>
    <row r="21" spans="1:22" ht="18" hidden="1">
      <c r="A21" s="9">
        <f>IF(Table1[[#This Row],[کد کوپ]]&lt;1,0,A20+1)</f>
        <v>20</v>
      </c>
      <c r="B21" s="9">
        <v>4031</v>
      </c>
      <c r="C21" s="10">
        <v>45101</v>
      </c>
      <c r="D21" s="11">
        <v>9.2750000000000004</v>
      </c>
      <c r="E21" s="12">
        <v>1.63</v>
      </c>
      <c r="F21" s="12">
        <v>1.64</v>
      </c>
      <c r="G21" s="12">
        <v>1.3</v>
      </c>
      <c r="H21" s="9" t="s">
        <v>9</v>
      </c>
      <c r="I21" s="9" t="s">
        <v>10</v>
      </c>
      <c r="J21" s="9" t="s">
        <v>11</v>
      </c>
      <c r="K21"/>
      <c r="U21"/>
      <c r="V21"/>
    </row>
    <row r="22" spans="1:22" ht="18" hidden="1">
      <c r="A22" s="9">
        <f>IF(Table1[[#This Row],[کد کوپ]]&lt;1,0,A21+1)</f>
        <v>21</v>
      </c>
      <c r="B22" s="9">
        <v>4044</v>
      </c>
      <c r="C22" s="10">
        <v>45104</v>
      </c>
      <c r="D22" s="11">
        <v>15.24</v>
      </c>
      <c r="E22" s="12">
        <v>2.1</v>
      </c>
      <c r="F22" s="12">
        <v>1.75</v>
      </c>
      <c r="G22" s="12">
        <v>1.45</v>
      </c>
      <c r="H22" s="9" t="s">
        <v>9</v>
      </c>
      <c r="I22" s="9" t="s">
        <v>10</v>
      </c>
      <c r="J22" s="9" t="s">
        <v>11</v>
      </c>
      <c r="K22"/>
      <c r="U22"/>
      <c r="V22"/>
    </row>
    <row r="23" spans="1:22" ht="18" hidden="1">
      <c r="A23" s="9">
        <f>IF(Table1[[#This Row],[کد کوپ]]&lt;1,0,A22+1)</f>
        <v>22</v>
      </c>
      <c r="B23" s="9">
        <v>4050</v>
      </c>
      <c r="C23" s="10">
        <v>45105</v>
      </c>
      <c r="D23" s="11">
        <v>10.74</v>
      </c>
      <c r="E23" s="12">
        <v>2.35</v>
      </c>
      <c r="F23" s="12">
        <v>1.8</v>
      </c>
      <c r="G23" s="12">
        <v>0.9</v>
      </c>
      <c r="H23" s="9" t="s">
        <v>9</v>
      </c>
      <c r="I23" s="9" t="s">
        <v>10</v>
      </c>
      <c r="J23" s="9" t="s">
        <v>11</v>
      </c>
      <c r="K23"/>
      <c r="U23"/>
      <c r="V23"/>
    </row>
    <row r="24" spans="1:22" ht="18" hidden="1">
      <c r="A24" s="9">
        <f>IF(Table1[[#This Row],[کد کوپ]]&lt;1,0,A23+1)</f>
        <v>23</v>
      </c>
      <c r="B24" s="9">
        <v>4057</v>
      </c>
      <c r="C24" s="10">
        <v>45105</v>
      </c>
      <c r="D24" s="11">
        <v>8.73</v>
      </c>
      <c r="E24" s="12">
        <v>2.12</v>
      </c>
      <c r="F24" s="12">
        <v>1.54</v>
      </c>
      <c r="G24" s="12">
        <v>1.03</v>
      </c>
      <c r="H24" s="9" t="s">
        <v>9</v>
      </c>
      <c r="I24" s="9" t="s">
        <v>10</v>
      </c>
      <c r="J24" s="9" t="s">
        <v>11</v>
      </c>
      <c r="K24"/>
      <c r="U24"/>
      <c r="V24"/>
    </row>
    <row r="25" spans="1:22" ht="18" hidden="1">
      <c r="A25" s="9">
        <f>IF(Table1[[#This Row],[کد کوپ]]&lt;1,0,A24+1)</f>
        <v>24</v>
      </c>
      <c r="B25" s="9">
        <v>4063</v>
      </c>
      <c r="C25" s="10">
        <v>45108</v>
      </c>
      <c r="D25" s="11">
        <v>24.02</v>
      </c>
      <c r="E25" s="12">
        <v>2.9</v>
      </c>
      <c r="F25" s="12">
        <v>1.7</v>
      </c>
      <c r="G25" s="12">
        <v>1.8</v>
      </c>
      <c r="H25" s="9" t="s">
        <v>9</v>
      </c>
      <c r="I25" s="9" t="s">
        <v>10</v>
      </c>
      <c r="J25" s="9" t="s">
        <v>11</v>
      </c>
      <c r="K25"/>
      <c r="U25"/>
      <c r="V25"/>
    </row>
    <row r="26" spans="1:22" ht="18" hidden="1">
      <c r="A26" s="9">
        <f>IF(Table1[[#This Row],[کد کوپ]]&lt;1,0,A25+1)</f>
        <v>25</v>
      </c>
      <c r="B26" s="9">
        <v>4066</v>
      </c>
      <c r="C26" s="10">
        <v>45110</v>
      </c>
      <c r="D26" s="11">
        <v>11.47</v>
      </c>
      <c r="E26" s="12">
        <v>2.25</v>
      </c>
      <c r="F26" s="12">
        <v>1.8</v>
      </c>
      <c r="G26" s="12">
        <v>1</v>
      </c>
      <c r="H26" s="9" t="s">
        <v>9</v>
      </c>
      <c r="I26" s="9" t="s">
        <v>10</v>
      </c>
      <c r="J26" s="9" t="s">
        <v>11</v>
      </c>
      <c r="K26"/>
      <c r="U26"/>
      <c r="V26"/>
    </row>
    <row r="27" spans="1:22" ht="18" hidden="1">
      <c r="A27" s="9">
        <f>IF(Table1[[#This Row],[کد کوپ]]&lt;1,0,A26+1)</f>
        <v>26</v>
      </c>
      <c r="B27" s="9">
        <v>4074</v>
      </c>
      <c r="C27" s="10">
        <v>45111</v>
      </c>
      <c r="D27" s="11">
        <v>9.1649999999999991</v>
      </c>
      <c r="E27" s="12">
        <v>1.76</v>
      </c>
      <c r="F27" s="12">
        <v>1.39</v>
      </c>
      <c r="G27" s="12">
        <v>1.46</v>
      </c>
      <c r="H27" s="9" t="s">
        <v>9</v>
      </c>
      <c r="I27" s="9" t="s">
        <v>10</v>
      </c>
      <c r="J27" s="9" t="s">
        <v>11</v>
      </c>
      <c r="K27"/>
      <c r="U27"/>
      <c r="V27"/>
    </row>
    <row r="28" spans="1:22" ht="18" hidden="1">
      <c r="A28" s="9">
        <f>IF(Table1[[#This Row],[کد کوپ]]&lt;1,0,A27+1)</f>
        <v>27</v>
      </c>
      <c r="B28" s="9">
        <v>4087</v>
      </c>
      <c r="C28" s="10">
        <v>45115</v>
      </c>
      <c r="D28" s="11">
        <v>19.035</v>
      </c>
      <c r="E28" s="12">
        <v>2.95</v>
      </c>
      <c r="F28" s="12">
        <v>1.85</v>
      </c>
      <c r="G28" s="12">
        <v>1.3</v>
      </c>
      <c r="H28" s="9" t="s">
        <v>9</v>
      </c>
      <c r="I28" s="9" t="s">
        <v>10</v>
      </c>
      <c r="J28" s="9" t="s">
        <v>11</v>
      </c>
      <c r="K28"/>
      <c r="U28"/>
      <c r="V28"/>
    </row>
    <row r="29" spans="1:22" ht="18" hidden="1">
      <c r="A29" s="9">
        <f>IF(Table1[[#This Row],[کد کوپ]]&lt;1,0,A28+1)</f>
        <v>28</v>
      </c>
      <c r="B29" s="9">
        <v>4117</v>
      </c>
      <c r="C29" s="10">
        <v>45122</v>
      </c>
      <c r="D29" s="11">
        <v>15.64</v>
      </c>
      <c r="E29" s="12">
        <v>1.8</v>
      </c>
      <c r="F29" s="12">
        <v>2.02</v>
      </c>
      <c r="G29" s="12">
        <v>1.65</v>
      </c>
      <c r="H29" s="9" t="s">
        <v>9</v>
      </c>
      <c r="I29" s="9" t="s">
        <v>10</v>
      </c>
      <c r="J29" s="9" t="s">
        <v>11</v>
      </c>
      <c r="K29"/>
      <c r="U29"/>
      <c r="V29"/>
    </row>
    <row r="30" spans="1:22" ht="18" hidden="1">
      <c r="A30" s="9">
        <f>IF(Table1[[#This Row],[کد کوپ]]&lt;1,0,A29+1)</f>
        <v>29</v>
      </c>
      <c r="B30" s="9">
        <v>4147</v>
      </c>
      <c r="C30" s="10">
        <v>45129</v>
      </c>
      <c r="D30" s="11">
        <v>27.18</v>
      </c>
      <c r="E30" s="12">
        <v>2.73</v>
      </c>
      <c r="F30" s="12">
        <v>2.04</v>
      </c>
      <c r="G30" s="12">
        <v>1.8</v>
      </c>
      <c r="H30" s="9" t="s">
        <v>9</v>
      </c>
      <c r="I30" s="9" t="s">
        <v>10</v>
      </c>
      <c r="J30" s="9" t="s">
        <v>11</v>
      </c>
      <c r="K30"/>
      <c r="U30"/>
      <c r="V30"/>
    </row>
    <row r="31" spans="1:22" ht="18" hidden="1">
      <c r="A31" s="9">
        <f>IF(Table1[[#This Row],[کد کوپ]]&lt;1,0,A30+1)</f>
        <v>30</v>
      </c>
      <c r="B31" s="9">
        <v>4181</v>
      </c>
      <c r="C31" s="10">
        <v>45138</v>
      </c>
      <c r="D31" s="11">
        <v>14.59</v>
      </c>
      <c r="E31" s="12">
        <v>2</v>
      </c>
      <c r="F31" s="12">
        <v>1.8</v>
      </c>
      <c r="G31" s="12">
        <v>1.5</v>
      </c>
      <c r="H31" s="9" t="s">
        <v>9</v>
      </c>
      <c r="I31" s="9" t="s">
        <v>10</v>
      </c>
      <c r="J31" s="9" t="s">
        <v>11</v>
      </c>
      <c r="K31"/>
      <c r="U31"/>
      <c r="V31"/>
    </row>
    <row r="32" spans="1:22" ht="18" hidden="1">
      <c r="A32" s="9">
        <f>IF(Table1[[#This Row],[کد کوپ]]&lt;1,0,A31+1)</f>
        <v>31</v>
      </c>
      <c r="B32" s="9">
        <v>4189</v>
      </c>
      <c r="C32" s="10">
        <v>45138</v>
      </c>
      <c r="D32" s="11">
        <v>22.805</v>
      </c>
      <c r="E32" s="12">
        <v>2.4</v>
      </c>
      <c r="F32" s="12">
        <v>1.83</v>
      </c>
      <c r="G32" s="12">
        <v>1.74</v>
      </c>
      <c r="H32" s="9" t="s">
        <v>9</v>
      </c>
      <c r="I32" s="9" t="s">
        <v>10</v>
      </c>
      <c r="J32" s="9" t="s">
        <v>11</v>
      </c>
      <c r="K32"/>
      <c r="U32"/>
      <c r="V32"/>
    </row>
    <row r="33" spans="1:22" ht="18" hidden="1">
      <c r="A33" s="9">
        <f>IF(Table1[[#This Row],[کد کوپ]]&lt;1,0,A32+1)</f>
        <v>32</v>
      </c>
      <c r="B33" s="9">
        <v>4199</v>
      </c>
      <c r="C33" s="10">
        <v>45150</v>
      </c>
      <c r="D33" s="11">
        <v>10.005000000000001</v>
      </c>
      <c r="E33" s="12">
        <v>1.65</v>
      </c>
      <c r="F33" s="12">
        <v>1.95</v>
      </c>
      <c r="G33" s="12">
        <v>1.1499999999999999</v>
      </c>
      <c r="H33" s="9" t="s">
        <v>9</v>
      </c>
      <c r="I33" s="9" t="s">
        <v>10</v>
      </c>
      <c r="J33" s="9" t="s">
        <v>11</v>
      </c>
      <c r="K33"/>
      <c r="U33"/>
      <c r="V33"/>
    </row>
    <row r="34" spans="1:22" ht="18" hidden="1">
      <c r="A34" s="9">
        <f>IF(Table1[[#This Row],[کد کوپ]]&lt;1,0,A33+1)</f>
        <v>33</v>
      </c>
      <c r="B34" s="9">
        <v>4204</v>
      </c>
      <c r="C34" s="10">
        <v>45152</v>
      </c>
      <c r="D34" s="11">
        <v>19.809999999999999</v>
      </c>
      <c r="E34" s="12">
        <v>2.35</v>
      </c>
      <c r="F34" s="12">
        <v>1.9</v>
      </c>
      <c r="G34" s="12">
        <v>1.65</v>
      </c>
      <c r="H34" s="9" t="s">
        <v>9</v>
      </c>
      <c r="I34" s="9" t="s">
        <v>10</v>
      </c>
      <c r="J34" s="9" t="s">
        <v>11</v>
      </c>
      <c r="K34"/>
      <c r="U34"/>
      <c r="V34"/>
    </row>
    <row r="35" spans="1:22" ht="18" hidden="1">
      <c r="A35" s="9">
        <f>IF(Table1[[#This Row],[کد کوپ]]&lt;1,0,A34+1)</f>
        <v>34</v>
      </c>
      <c r="B35" s="9">
        <v>4208</v>
      </c>
      <c r="C35" s="10">
        <v>45153</v>
      </c>
      <c r="D35" s="11">
        <v>26.664999999999999</v>
      </c>
      <c r="E35" s="12">
        <v>2.9</v>
      </c>
      <c r="F35" s="12">
        <v>1.85</v>
      </c>
      <c r="G35" s="12">
        <v>1.8</v>
      </c>
      <c r="H35" s="9" t="s">
        <v>9</v>
      </c>
      <c r="I35" s="9" t="s">
        <v>10</v>
      </c>
      <c r="J35" s="9" t="s">
        <v>11</v>
      </c>
      <c r="K35"/>
      <c r="U35"/>
      <c r="V35"/>
    </row>
    <row r="36" spans="1:22" ht="18" hidden="1">
      <c r="A36" s="9">
        <f>IF(Table1[[#This Row],[کد کوپ]]&lt;1,0,A35+1)</f>
        <v>35</v>
      </c>
      <c r="B36" s="9">
        <v>4220</v>
      </c>
      <c r="C36" s="10">
        <v>45156</v>
      </c>
      <c r="D36" s="11">
        <v>12.83</v>
      </c>
      <c r="E36" s="12">
        <v>2.85</v>
      </c>
      <c r="F36" s="12">
        <v>0.95</v>
      </c>
      <c r="G36" s="12">
        <v>1.75</v>
      </c>
      <c r="H36" s="9" t="s">
        <v>9</v>
      </c>
      <c r="I36" s="9" t="s">
        <v>10</v>
      </c>
      <c r="J36" s="9" t="s">
        <v>11</v>
      </c>
      <c r="K36"/>
      <c r="U36"/>
      <c r="V36"/>
    </row>
    <row r="37" spans="1:22" ht="18" hidden="1">
      <c r="A37" s="9">
        <f>IF(Table1[[#This Row],[کد کوپ]]&lt;1,0,A36+1)</f>
        <v>36</v>
      </c>
      <c r="B37" s="9">
        <v>4221</v>
      </c>
      <c r="C37" s="10">
        <v>45157</v>
      </c>
      <c r="D37" s="11">
        <v>25.74</v>
      </c>
      <c r="E37" s="12">
        <v>2.9</v>
      </c>
      <c r="F37" s="12">
        <v>1.8</v>
      </c>
      <c r="G37" s="12">
        <v>1.8</v>
      </c>
      <c r="H37" s="9" t="s">
        <v>9</v>
      </c>
      <c r="I37" s="9" t="s">
        <v>10</v>
      </c>
      <c r="J37" s="9" t="s">
        <v>11</v>
      </c>
      <c r="K37"/>
      <c r="U37"/>
      <c r="V37"/>
    </row>
    <row r="38" spans="1:22" ht="18" hidden="1">
      <c r="A38" s="9">
        <f>IF(Table1[[#This Row],[کد کوپ]]&lt;1,0,A37+1)</f>
        <v>37</v>
      </c>
      <c r="B38" s="9">
        <v>4222</v>
      </c>
      <c r="C38" s="10">
        <v>45157</v>
      </c>
      <c r="D38" s="11">
        <v>15.47</v>
      </c>
      <c r="E38" s="12">
        <v>2.88</v>
      </c>
      <c r="F38" s="12">
        <v>1.82</v>
      </c>
      <c r="G38" s="12">
        <v>1.1399999999999999</v>
      </c>
      <c r="H38" s="9" t="s">
        <v>9</v>
      </c>
      <c r="I38" s="9" t="s">
        <v>10</v>
      </c>
      <c r="J38" s="9" t="s">
        <v>11</v>
      </c>
      <c r="K38"/>
      <c r="U38"/>
      <c r="V38"/>
    </row>
    <row r="39" spans="1:22" ht="18" hidden="1">
      <c r="A39" s="9">
        <f>IF(Table1[[#This Row],[کد کوپ]]&lt;1,0,A38+1)</f>
        <v>38</v>
      </c>
      <c r="B39" s="9">
        <v>4241</v>
      </c>
      <c r="C39" s="10">
        <v>45161</v>
      </c>
      <c r="D39" s="11">
        <v>25.23</v>
      </c>
      <c r="E39" s="12">
        <v>2.95</v>
      </c>
      <c r="F39" s="12">
        <v>1.65</v>
      </c>
      <c r="G39" s="12">
        <v>1.95</v>
      </c>
      <c r="H39" s="9" t="s">
        <v>9</v>
      </c>
      <c r="I39" s="9" t="s">
        <v>10</v>
      </c>
      <c r="J39" s="9" t="s">
        <v>11</v>
      </c>
      <c r="K39"/>
      <c r="U39"/>
      <c r="V39"/>
    </row>
    <row r="40" spans="1:22" ht="18" hidden="1">
      <c r="A40" s="9">
        <f>IF(Table1[[#This Row],[کد کوپ]]&lt;1,0,A39+1)</f>
        <v>39</v>
      </c>
      <c r="B40" s="9">
        <v>4244</v>
      </c>
      <c r="C40" s="10">
        <v>45161</v>
      </c>
      <c r="D40" s="11">
        <v>22.99</v>
      </c>
      <c r="E40" s="12">
        <v>2.85</v>
      </c>
      <c r="F40" s="12">
        <v>1.9</v>
      </c>
      <c r="G40" s="12">
        <v>1.5</v>
      </c>
      <c r="H40" s="9" t="s">
        <v>9</v>
      </c>
      <c r="I40" s="9" t="s">
        <v>10</v>
      </c>
      <c r="J40" s="9" t="s">
        <v>11</v>
      </c>
      <c r="K40"/>
      <c r="U40"/>
      <c r="V40"/>
    </row>
    <row r="41" spans="1:22" ht="18" hidden="1">
      <c r="A41" s="9">
        <f>IF(Table1[[#This Row],[کد کوپ]]&lt;1,0,A40+1)</f>
        <v>40</v>
      </c>
      <c r="B41" s="9">
        <v>4252</v>
      </c>
      <c r="C41" s="10">
        <v>45165</v>
      </c>
      <c r="D41" s="11">
        <v>17.649999999999999</v>
      </c>
      <c r="E41" s="12">
        <v>2.2400000000000002</v>
      </c>
      <c r="F41" s="12">
        <v>1.91</v>
      </c>
      <c r="G41" s="12">
        <v>1.51</v>
      </c>
      <c r="H41" s="9" t="s">
        <v>9</v>
      </c>
      <c r="I41" s="9" t="s">
        <v>10</v>
      </c>
      <c r="J41" s="9" t="s">
        <v>11</v>
      </c>
      <c r="K41"/>
      <c r="U41"/>
      <c r="V41"/>
    </row>
    <row r="42" spans="1:22" ht="18" hidden="1">
      <c r="A42" s="9">
        <f>IF(Table1[[#This Row],[کد کوپ]]&lt;1,0,A41+1)</f>
        <v>41</v>
      </c>
      <c r="B42" s="9">
        <v>4254</v>
      </c>
      <c r="C42" s="10">
        <v>45165</v>
      </c>
      <c r="D42" s="11">
        <v>20.93</v>
      </c>
      <c r="E42" s="12">
        <v>1.95</v>
      </c>
      <c r="F42" s="12">
        <v>2.0499999999999998</v>
      </c>
      <c r="G42" s="12">
        <v>1.9</v>
      </c>
      <c r="H42" s="9" t="s">
        <v>9</v>
      </c>
      <c r="I42" s="9" t="s">
        <v>10</v>
      </c>
      <c r="J42" s="9" t="s">
        <v>11</v>
      </c>
      <c r="K42"/>
      <c r="U42"/>
      <c r="V42"/>
    </row>
    <row r="43" spans="1:22" ht="18" hidden="1">
      <c r="A43" s="9">
        <f>IF(Table1[[#This Row],[کد کوپ]]&lt;1,0,A42+1)</f>
        <v>42</v>
      </c>
      <c r="B43" s="9">
        <v>4261</v>
      </c>
      <c r="C43" s="10">
        <v>45165</v>
      </c>
      <c r="D43" s="11">
        <v>16.36</v>
      </c>
      <c r="E43" s="12">
        <v>1.95</v>
      </c>
      <c r="F43" s="12">
        <v>1.7</v>
      </c>
      <c r="G43" s="12">
        <v>1.75</v>
      </c>
      <c r="H43" s="9" t="s">
        <v>9</v>
      </c>
      <c r="I43" s="9" t="s">
        <v>10</v>
      </c>
      <c r="J43" s="9" t="s">
        <v>11</v>
      </c>
      <c r="K43"/>
      <c r="U43"/>
      <c r="V43"/>
    </row>
    <row r="44" spans="1:22" ht="18" hidden="1">
      <c r="A44" s="9">
        <f>IF(Table1[[#This Row],[کد کوپ]]&lt;1,0,A43+1)</f>
        <v>43</v>
      </c>
      <c r="B44" s="9">
        <v>4265</v>
      </c>
      <c r="C44" s="10">
        <v>45168</v>
      </c>
      <c r="D44" s="11">
        <v>21.08</v>
      </c>
      <c r="E44" s="12">
        <v>2.2000000000000002</v>
      </c>
      <c r="F44" s="12">
        <v>1.95</v>
      </c>
      <c r="G44" s="12">
        <v>1.85</v>
      </c>
      <c r="H44" s="9" t="s">
        <v>9</v>
      </c>
      <c r="I44" s="9" t="s">
        <v>10</v>
      </c>
      <c r="J44" s="9" t="s">
        <v>11</v>
      </c>
      <c r="K44"/>
      <c r="U44"/>
      <c r="V44"/>
    </row>
    <row r="45" spans="1:22" ht="18" hidden="1">
      <c r="A45" s="9">
        <f>IF(Table1[[#This Row],[کد کوپ]]&lt;1,0,A44+1)</f>
        <v>44</v>
      </c>
      <c r="B45" s="9">
        <v>4266</v>
      </c>
      <c r="C45" s="10">
        <v>45171</v>
      </c>
      <c r="D45" s="11">
        <v>14.25</v>
      </c>
      <c r="E45" s="12">
        <v>2.7</v>
      </c>
      <c r="F45" s="12">
        <v>1.85</v>
      </c>
      <c r="G45" s="12">
        <v>1.05</v>
      </c>
      <c r="H45" s="9" t="s">
        <v>9</v>
      </c>
      <c r="I45" s="9" t="s">
        <v>10</v>
      </c>
      <c r="J45" s="9" t="s">
        <v>11</v>
      </c>
      <c r="K45"/>
      <c r="U45"/>
      <c r="V45"/>
    </row>
    <row r="46" spans="1:22" ht="18" hidden="1">
      <c r="A46" s="9">
        <f>IF(Table1[[#This Row],[کد کوپ]]&lt;1,0,A45+1)</f>
        <v>45</v>
      </c>
      <c r="B46" s="9">
        <v>4283</v>
      </c>
      <c r="C46" s="10">
        <v>45175</v>
      </c>
      <c r="D46" s="11">
        <v>17.850000000000001</v>
      </c>
      <c r="E46" s="12">
        <v>2.93</v>
      </c>
      <c r="F46" s="12">
        <v>1.63</v>
      </c>
      <c r="G46" s="12">
        <v>1.37</v>
      </c>
      <c r="H46" s="9" t="s">
        <v>9</v>
      </c>
      <c r="I46" s="9" t="s">
        <v>10</v>
      </c>
      <c r="J46" s="9" t="s">
        <v>11</v>
      </c>
      <c r="K46"/>
      <c r="U46"/>
      <c r="V46"/>
    </row>
    <row r="47" spans="1:22" ht="18" hidden="1">
      <c r="A47" s="9">
        <f>IF(Table1[[#This Row],[کد کوپ]]&lt;1,0,A46+1)</f>
        <v>46</v>
      </c>
      <c r="B47" s="9">
        <v>4291</v>
      </c>
      <c r="C47" s="10">
        <v>45180</v>
      </c>
      <c r="D47" s="11">
        <v>23.9</v>
      </c>
      <c r="E47" s="12">
        <v>2.85</v>
      </c>
      <c r="F47" s="12">
        <v>1.85</v>
      </c>
      <c r="G47" s="12">
        <v>1.8</v>
      </c>
      <c r="H47" s="9" t="s">
        <v>9</v>
      </c>
      <c r="I47" s="9" t="s">
        <v>10</v>
      </c>
      <c r="J47" s="9" t="s">
        <v>11</v>
      </c>
      <c r="K47"/>
      <c r="U47"/>
      <c r="V47"/>
    </row>
    <row r="48" spans="1:22" ht="18" hidden="1">
      <c r="A48" s="9">
        <f>IF(Table1[[#This Row],[کد کوپ]]&lt;1,0,A47+1)</f>
        <v>47</v>
      </c>
      <c r="B48" s="9">
        <v>4304</v>
      </c>
      <c r="C48" s="10">
        <v>45186</v>
      </c>
      <c r="D48" s="11">
        <v>24.71</v>
      </c>
      <c r="E48" s="12">
        <v>2.8</v>
      </c>
      <c r="F48" s="12">
        <v>1.8</v>
      </c>
      <c r="G48" s="12">
        <v>1.8</v>
      </c>
      <c r="H48" s="9" t="s">
        <v>9</v>
      </c>
      <c r="I48" s="9" t="s">
        <v>10</v>
      </c>
      <c r="J48" s="9" t="s">
        <v>11</v>
      </c>
      <c r="K48"/>
      <c r="U48"/>
      <c r="V48"/>
    </row>
    <row r="49" spans="1:22" ht="18" hidden="1">
      <c r="A49" s="9">
        <f>IF(Table1[[#This Row],[کد کوپ]]&lt;1,0,A48+1)</f>
        <v>48</v>
      </c>
      <c r="B49" s="9">
        <v>4306</v>
      </c>
      <c r="C49" s="10">
        <v>45187</v>
      </c>
      <c r="D49" s="11">
        <v>24.94</v>
      </c>
      <c r="E49" s="12">
        <v>2.9</v>
      </c>
      <c r="F49" s="12">
        <v>1.8</v>
      </c>
      <c r="G49" s="12">
        <v>1.8</v>
      </c>
      <c r="H49" s="9" t="s">
        <v>9</v>
      </c>
      <c r="I49" s="9" t="s">
        <v>10</v>
      </c>
      <c r="J49" s="9" t="s">
        <v>11</v>
      </c>
      <c r="K49"/>
      <c r="U49"/>
      <c r="V49"/>
    </row>
    <row r="50" spans="1:22" ht="18" hidden="1">
      <c r="A50" s="9">
        <f>IF(Table1[[#This Row],[کد کوپ]]&lt;1,0,A49+1)</f>
        <v>49</v>
      </c>
      <c r="B50" s="9">
        <v>4307</v>
      </c>
      <c r="C50" s="10">
        <v>45187</v>
      </c>
      <c r="D50" s="11">
        <v>25.905000000000001</v>
      </c>
      <c r="E50" s="12">
        <v>2.8</v>
      </c>
      <c r="F50" s="12">
        <v>1.9</v>
      </c>
      <c r="G50" s="12">
        <v>1</v>
      </c>
      <c r="H50" s="9" t="s">
        <v>9</v>
      </c>
      <c r="I50" s="9" t="s">
        <v>10</v>
      </c>
      <c r="J50" s="9" t="s">
        <v>11</v>
      </c>
      <c r="K50"/>
      <c r="U50"/>
      <c r="V50"/>
    </row>
    <row r="51" spans="1:22" ht="18" hidden="1">
      <c r="A51" s="9">
        <f>IF(Table1[[#This Row],[کد کوپ]]&lt;1,0,A50+1)</f>
        <v>50</v>
      </c>
      <c r="B51" s="9">
        <v>4311</v>
      </c>
      <c r="C51" s="10">
        <v>45190</v>
      </c>
      <c r="D51" s="11">
        <v>18.399999999999999</v>
      </c>
      <c r="E51" s="12">
        <v>2.25</v>
      </c>
      <c r="F51" s="12">
        <v>1.6</v>
      </c>
      <c r="G51" s="12">
        <v>1.83</v>
      </c>
      <c r="H51" s="9" t="s">
        <v>9</v>
      </c>
      <c r="I51" s="9" t="s">
        <v>10</v>
      </c>
      <c r="J51" s="9" t="s">
        <v>11</v>
      </c>
      <c r="K51"/>
      <c r="U51"/>
      <c r="V51"/>
    </row>
    <row r="52" spans="1:22" ht="18" hidden="1">
      <c r="A52" s="9">
        <f>IF(Table1[[#This Row],[کد کوپ]]&lt;1,0,A51+1)</f>
        <v>51</v>
      </c>
      <c r="B52" s="9">
        <v>4312</v>
      </c>
      <c r="C52" s="10">
        <v>45192</v>
      </c>
      <c r="D52" s="11">
        <v>15.78</v>
      </c>
      <c r="E52" s="12">
        <v>2.1</v>
      </c>
      <c r="F52" s="12">
        <v>1.7</v>
      </c>
      <c r="G52" s="12">
        <v>1.58</v>
      </c>
      <c r="H52" s="9" t="s">
        <v>9</v>
      </c>
      <c r="I52" s="9" t="s">
        <v>10</v>
      </c>
      <c r="J52" s="9" t="s">
        <v>11</v>
      </c>
      <c r="K52"/>
      <c r="U52"/>
      <c r="V52"/>
    </row>
    <row r="53" spans="1:22" ht="18" hidden="1">
      <c r="A53" s="9">
        <f>IF(Table1[[#This Row],[کد کوپ]]&lt;1,0,A52+1)</f>
        <v>52</v>
      </c>
      <c r="B53" s="9">
        <v>4314</v>
      </c>
      <c r="C53" s="10">
        <v>45192</v>
      </c>
      <c r="D53" s="11">
        <v>26.62</v>
      </c>
      <c r="E53" s="12">
        <v>2.85</v>
      </c>
      <c r="F53" s="12">
        <v>1.8</v>
      </c>
      <c r="G53" s="12">
        <v>1.88</v>
      </c>
      <c r="H53" s="9" t="s">
        <v>9</v>
      </c>
      <c r="I53" s="9" t="s">
        <v>10</v>
      </c>
      <c r="J53" s="9" t="s">
        <v>11</v>
      </c>
      <c r="K53"/>
      <c r="U53"/>
      <c r="V53"/>
    </row>
    <row r="54" spans="1:22" ht="18" hidden="1">
      <c r="A54" s="9">
        <f>IF(Table1[[#This Row],[کد کوپ]]&lt;1,0,A53+1)</f>
        <v>53</v>
      </c>
      <c r="B54" s="9">
        <v>4315</v>
      </c>
      <c r="C54" s="10">
        <v>45192</v>
      </c>
      <c r="D54" s="11">
        <v>26.3</v>
      </c>
      <c r="E54" s="12">
        <v>2.95</v>
      </c>
      <c r="F54" s="12">
        <v>1.85</v>
      </c>
      <c r="G54" s="12">
        <v>1.8</v>
      </c>
      <c r="H54" s="9" t="s">
        <v>9</v>
      </c>
      <c r="I54" s="9" t="s">
        <v>10</v>
      </c>
      <c r="J54" s="9" t="s">
        <v>11</v>
      </c>
      <c r="K54"/>
      <c r="U54"/>
      <c r="V54"/>
    </row>
    <row r="55" spans="1:22" ht="18" hidden="1">
      <c r="A55" s="9">
        <f>IF(Table1[[#This Row],[کد کوپ]]&lt;1,0,A54+1)</f>
        <v>54</v>
      </c>
      <c r="B55" s="9">
        <v>4317</v>
      </c>
      <c r="C55" s="10">
        <v>45193</v>
      </c>
      <c r="D55" s="11">
        <v>26.35</v>
      </c>
      <c r="E55" s="12">
        <v>2.8</v>
      </c>
      <c r="F55" s="12">
        <v>1.8</v>
      </c>
      <c r="G55" s="12">
        <v>1.97</v>
      </c>
      <c r="H55" s="9" t="s">
        <v>9</v>
      </c>
      <c r="I55" s="9" t="s">
        <v>10</v>
      </c>
      <c r="J55" s="9" t="s">
        <v>11</v>
      </c>
      <c r="K55"/>
      <c r="U55"/>
      <c r="V55"/>
    </row>
    <row r="56" spans="1:22" ht="18" hidden="1">
      <c r="A56" s="9">
        <f>IF(Table1[[#This Row],[کد کوپ]]&lt;1,0,A55+1)</f>
        <v>55</v>
      </c>
      <c r="B56" s="9">
        <v>4321</v>
      </c>
      <c r="C56" s="10">
        <v>45194</v>
      </c>
      <c r="D56" s="11">
        <v>8.52</v>
      </c>
      <c r="E56" s="12">
        <v>1.65</v>
      </c>
      <c r="F56" s="12">
        <v>1.47</v>
      </c>
      <c r="G56" s="12">
        <v>1.4</v>
      </c>
      <c r="H56" s="9" t="s">
        <v>9</v>
      </c>
      <c r="I56" s="9" t="s">
        <v>10</v>
      </c>
      <c r="J56" s="9" t="s">
        <v>11</v>
      </c>
      <c r="K56"/>
      <c r="U56"/>
      <c r="V56"/>
    </row>
    <row r="57" spans="1:22" ht="18" hidden="1">
      <c r="A57" s="9">
        <f>IF(Table1[[#This Row],[کد کوپ]]&lt;1,0,A56+1)</f>
        <v>56</v>
      </c>
      <c r="B57" s="9">
        <v>4323</v>
      </c>
      <c r="C57" s="10">
        <v>45199</v>
      </c>
      <c r="D57" s="11">
        <v>14.81</v>
      </c>
      <c r="E57" s="12">
        <v>2.9</v>
      </c>
      <c r="F57" s="12">
        <v>1.42</v>
      </c>
      <c r="G57" s="12">
        <v>1.4</v>
      </c>
      <c r="H57" s="9" t="s">
        <v>9</v>
      </c>
      <c r="I57" s="9" t="s">
        <v>10</v>
      </c>
      <c r="J57" s="9" t="s">
        <v>11</v>
      </c>
      <c r="K57"/>
      <c r="U57"/>
      <c r="V57"/>
    </row>
    <row r="58" spans="1:22" ht="18" hidden="1">
      <c r="A58" s="9">
        <f>IF(Table1[[#This Row],[کد کوپ]]&lt;1,0,A57+1)</f>
        <v>57</v>
      </c>
      <c r="B58" s="9">
        <v>4324</v>
      </c>
      <c r="C58" s="10">
        <v>45199</v>
      </c>
      <c r="D58" s="11">
        <v>9.42</v>
      </c>
      <c r="E58" s="12">
        <v>1.86</v>
      </c>
      <c r="F58" s="12">
        <v>1.7</v>
      </c>
      <c r="G58" s="12">
        <v>1.1000000000000001</v>
      </c>
      <c r="H58" s="9" t="s">
        <v>9</v>
      </c>
      <c r="I58" s="9" t="s">
        <v>10</v>
      </c>
      <c r="J58" s="9" t="s">
        <v>11</v>
      </c>
      <c r="K58"/>
      <c r="U58"/>
      <c r="V58"/>
    </row>
    <row r="59" spans="1:22" ht="18" hidden="1">
      <c r="A59" s="9">
        <f>IF(Table1[[#This Row],[کد کوپ]]&lt;1,0,A58+1)</f>
        <v>58</v>
      </c>
      <c r="B59" s="9">
        <v>4325</v>
      </c>
      <c r="C59" s="10">
        <v>45201</v>
      </c>
      <c r="D59" s="11">
        <v>17.16</v>
      </c>
      <c r="E59" s="12">
        <v>3</v>
      </c>
      <c r="F59" s="12">
        <v>1.77</v>
      </c>
      <c r="G59" s="12">
        <v>1.17</v>
      </c>
      <c r="H59" s="9" t="s">
        <v>9</v>
      </c>
      <c r="I59" s="9" t="s">
        <v>10</v>
      </c>
      <c r="J59" s="9" t="s">
        <v>11</v>
      </c>
      <c r="K59"/>
      <c r="U59"/>
      <c r="V59"/>
    </row>
    <row r="60" spans="1:22" ht="18" hidden="1">
      <c r="A60" s="9">
        <f>IF(Table1[[#This Row],[کد کوپ]]&lt;1,0,A59+1)</f>
        <v>59</v>
      </c>
      <c r="B60" s="9">
        <v>4329</v>
      </c>
      <c r="C60" s="10">
        <v>45207</v>
      </c>
      <c r="D60" s="11">
        <v>24.555</v>
      </c>
      <c r="E60" s="12">
        <v>2.95</v>
      </c>
      <c r="F60" s="12">
        <v>1.75</v>
      </c>
      <c r="G60" s="12">
        <v>1.8</v>
      </c>
      <c r="H60" s="9" t="s">
        <v>9</v>
      </c>
      <c r="I60" s="9" t="s">
        <v>10</v>
      </c>
      <c r="J60" s="9" t="s">
        <v>11</v>
      </c>
      <c r="K60"/>
      <c r="U60"/>
      <c r="V60"/>
    </row>
    <row r="61" spans="1:22" ht="18" hidden="1">
      <c r="A61" s="9">
        <f>IF(Table1[[#This Row],[کد کوپ]]&lt;1,0,A60+1)</f>
        <v>60</v>
      </c>
      <c r="B61" s="9">
        <v>4331</v>
      </c>
      <c r="C61" s="10">
        <v>45207</v>
      </c>
      <c r="D61" s="11">
        <v>12.77</v>
      </c>
      <c r="E61" s="12">
        <v>2.88</v>
      </c>
      <c r="F61" s="12">
        <v>1.6</v>
      </c>
      <c r="G61" s="12">
        <v>1.05</v>
      </c>
      <c r="H61" s="9" t="s">
        <v>9</v>
      </c>
      <c r="I61" s="9" t="s">
        <v>10</v>
      </c>
      <c r="J61" s="9" t="s">
        <v>11</v>
      </c>
      <c r="K61"/>
      <c r="U61"/>
      <c r="V61"/>
    </row>
    <row r="62" spans="1:22" ht="18" hidden="1">
      <c r="A62" s="9">
        <f>IF(Table1[[#This Row],[کد کوپ]]&lt;1,0,A61+1)</f>
        <v>61</v>
      </c>
      <c r="B62" s="9">
        <v>4332</v>
      </c>
      <c r="C62" s="10">
        <v>45208</v>
      </c>
      <c r="D62" s="11">
        <v>12.97</v>
      </c>
      <c r="E62" s="12">
        <v>2.95</v>
      </c>
      <c r="F62" s="12">
        <v>1.4</v>
      </c>
      <c r="G62" s="12">
        <v>1.2</v>
      </c>
      <c r="H62" s="9" t="s">
        <v>9</v>
      </c>
      <c r="I62" s="9" t="s">
        <v>10</v>
      </c>
      <c r="J62" s="9" t="s">
        <v>11</v>
      </c>
      <c r="K62"/>
      <c r="U62"/>
      <c r="V62"/>
    </row>
    <row r="63" spans="1:22" ht="18" hidden="1">
      <c r="A63" s="9">
        <f>IF(Table1[[#This Row],[کد کوپ]]&lt;1,0,A62+1)</f>
        <v>62</v>
      </c>
      <c r="B63" s="9">
        <v>4338</v>
      </c>
      <c r="C63" s="10">
        <v>45214</v>
      </c>
      <c r="D63" s="11">
        <v>18.170000000000002</v>
      </c>
      <c r="E63" s="12">
        <v>2.9</v>
      </c>
      <c r="F63" s="12">
        <v>1.8</v>
      </c>
      <c r="G63" s="12">
        <v>1.32</v>
      </c>
      <c r="H63" s="9" t="s">
        <v>9</v>
      </c>
      <c r="I63" s="9" t="s">
        <v>10</v>
      </c>
      <c r="J63" s="9" t="s">
        <v>11</v>
      </c>
      <c r="K63"/>
      <c r="U63"/>
      <c r="V63"/>
    </row>
    <row r="64" spans="1:22" ht="18" hidden="1">
      <c r="A64" s="9">
        <f>IF(Table1[[#This Row],[کد کوپ]]&lt;1,0,A63+1)</f>
        <v>63</v>
      </c>
      <c r="B64" s="9">
        <v>4339</v>
      </c>
      <c r="C64" s="10">
        <v>45214</v>
      </c>
      <c r="D64" s="11">
        <v>7.37</v>
      </c>
      <c r="E64" s="12">
        <v>2</v>
      </c>
      <c r="F64" s="12">
        <v>1.1399999999999999</v>
      </c>
      <c r="G64" s="12">
        <v>1.2</v>
      </c>
      <c r="H64" s="9" t="s">
        <v>9</v>
      </c>
      <c r="I64" s="9" t="s">
        <v>10</v>
      </c>
      <c r="J64" s="9" t="s">
        <v>11</v>
      </c>
      <c r="K64"/>
      <c r="U64"/>
      <c r="V64"/>
    </row>
    <row r="65" spans="1:22" ht="18" hidden="1">
      <c r="A65" s="9">
        <f>IF(Table1[[#This Row],[کد کوپ]]&lt;1,0,A64+1)</f>
        <v>64</v>
      </c>
      <c r="B65" s="9">
        <v>4341</v>
      </c>
      <c r="C65" s="10">
        <v>45223</v>
      </c>
      <c r="D65" s="11">
        <v>23.57</v>
      </c>
      <c r="E65" s="12">
        <v>2.75</v>
      </c>
      <c r="F65" s="12">
        <v>1.75</v>
      </c>
      <c r="G65" s="12">
        <v>1.8</v>
      </c>
      <c r="H65" s="9" t="s">
        <v>9</v>
      </c>
      <c r="I65" s="9" t="s">
        <v>10</v>
      </c>
      <c r="J65" s="9" t="s">
        <v>11</v>
      </c>
      <c r="K65"/>
      <c r="U65"/>
      <c r="V65"/>
    </row>
    <row r="66" spans="1:22" ht="18" hidden="1">
      <c r="A66" s="9">
        <f>IF(Table1[[#This Row],[کد کوپ]]&lt;1,0,A65+1)</f>
        <v>65</v>
      </c>
      <c r="B66" s="9">
        <v>4342</v>
      </c>
      <c r="C66" s="10">
        <v>45226</v>
      </c>
      <c r="D66" s="11">
        <v>25.19</v>
      </c>
      <c r="E66" s="12">
        <v>2.85</v>
      </c>
      <c r="F66" s="12">
        <v>1.85</v>
      </c>
      <c r="G66" s="12">
        <v>1.75</v>
      </c>
      <c r="H66" s="9" t="s">
        <v>9</v>
      </c>
      <c r="I66" s="9" t="s">
        <v>10</v>
      </c>
      <c r="J66" s="9" t="s">
        <v>11</v>
      </c>
      <c r="K66"/>
      <c r="U66"/>
      <c r="V66"/>
    </row>
    <row r="67" spans="1:22" ht="18" hidden="1">
      <c r="A67" s="9">
        <f>IF(Table1[[#This Row],[کد کوپ]]&lt;1,0,A66+1)</f>
        <v>66</v>
      </c>
      <c r="B67" s="9">
        <v>4343</v>
      </c>
      <c r="C67" s="10">
        <v>45226</v>
      </c>
      <c r="D67" s="11">
        <v>25.35</v>
      </c>
      <c r="E67" s="12">
        <v>2.85</v>
      </c>
      <c r="F67" s="12">
        <v>1.83</v>
      </c>
      <c r="G67" s="12">
        <v>1.8</v>
      </c>
      <c r="H67" s="9" t="s">
        <v>9</v>
      </c>
      <c r="I67" s="9" t="s">
        <v>10</v>
      </c>
      <c r="J67" s="9" t="s">
        <v>11</v>
      </c>
      <c r="K67"/>
      <c r="U67"/>
      <c r="V67"/>
    </row>
    <row r="68" spans="1:22" ht="18" hidden="1">
      <c r="A68" s="9">
        <f>IF(Table1[[#This Row],[کد کوپ]]&lt;1,0,A67+1)</f>
        <v>67</v>
      </c>
      <c r="B68" s="9">
        <v>4344</v>
      </c>
      <c r="C68" s="10">
        <v>45228</v>
      </c>
      <c r="D68" s="11">
        <v>23.64</v>
      </c>
      <c r="E68" s="12">
        <v>2.85</v>
      </c>
      <c r="F68" s="12">
        <v>1.73</v>
      </c>
      <c r="G68" s="12">
        <v>1.75</v>
      </c>
      <c r="H68" s="9" t="s">
        <v>9</v>
      </c>
      <c r="I68" s="9" t="s">
        <v>10</v>
      </c>
      <c r="J68" s="9" t="s">
        <v>11</v>
      </c>
      <c r="K68"/>
      <c r="U68"/>
      <c r="V68"/>
    </row>
    <row r="69" spans="1:22" ht="18" hidden="1">
      <c r="A69" s="9">
        <f>IF(Table1[[#This Row],[کد کوپ]]&lt;1,0,A68+1)</f>
        <v>68</v>
      </c>
      <c r="B69" s="9">
        <v>4345</v>
      </c>
      <c r="C69" s="10">
        <v>45228</v>
      </c>
      <c r="D69" s="11">
        <v>25.4</v>
      </c>
      <c r="E69" s="12">
        <v>2.9</v>
      </c>
      <c r="F69" s="12">
        <v>1.85</v>
      </c>
      <c r="G69" s="12">
        <v>1.7</v>
      </c>
      <c r="H69" s="9" t="s">
        <v>9</v>
      </c>
      <c r="I69" s="9" t="s">
        <v>10</v>
      </c>
      <c r="J69" s="9" t="s">
        <v>11</v>
      </c>
      <c r="K69"/>
      <c r="U69"/>
      <c r="V69"/>
    </row>
    <row r="70" spans="1:22" ht="18" hidden="1">
      <c r="A70" s="9">
        <f>IF(Table1[[#This Row],[کد کوپ]]&lt;1,0,A69+1)</f>
        <v>69</v>
      </c>
      <c r="B70" s="9">
        <v>4346</v>
      </c>
      <c r="C70" s="10">
        <v>45230</v>
      </c>
      <c r="D70" s="11">
        <v>15.8</v>
      </c>
      <c r="E70" s="12">
        <v>3.15</v>
      </c>
      <c r="F70" s="12">
        <v>1.6</v>
      </c>
      <c r="G70" s="12">
        <v>1.1499999999999999</v>
      </c>
      <c r="H70" s="9" t="s">
        <v>21</v>
      </c>
      <c r="I70" s="9" t="s">
        <v>10</v>
      </c>
      <c r="J70" s="9" t="s">
        <v>22</v>
      </c>
      <c r="K70"/>
      <c r="U70"/>
      <c r="V70"/>
    </row>
    <row r="71" spans="1:22" ht="18" hidden="1">
      <c r="A71" s="9">
        <f>IF(Table1[[#This Row],[کد کوپ]]&lt;1,0,A70+1)</f>
        <v>70</v>
      </c>
      <c r="B71" s="9">
        <v>4347</v>
      </c>
      <c r="C71" s="10">
        <v>45230</v>
      </c>
      <c r="D71" s="11">
        <v>9.85</v>
      </c>
      <c r="E71" s="12">
        <v>2.73</v>
      </c>
      <c r="F71" s="12">
        <v>1.3</v>
      </c>
      <c r="G71" s="12">
        <v>0.9</v>
      </c>
      <c r="H71" s="9" t="s">
        <v>21</v>
      </c>
      <c r="I71" s="9" t="s">
        <v>10</v>
      </c>
      <c r="J71" s="9" t="s">
        <v>22</v>
      </c>
      <c r="K71"/>
      <c r="U71"/>
      <c r="V71"/>
    </row>
    <row r="72" spans="1:22" ht="18" hidden="1">
      <c r="A72" s="9">
        <f>IF(Table1[[#This Row],[کد کوپ]]&lt;1,0,A71+1)</f>
        <v>71</v>
      </c>
      <c r="B72" s="9">
        <v>4348</v>
      </c>
      <c r="C72" s="10">
        <v>45230</v>
      </c>
      <c r="D72" s="11">
        <v>15.6</v>
      </c>
      <c r="E72" s="12">
        <v>1.95</v>
      </c>
      <c r="F72" s="12">
        <v>1.82</v>
      </c>
      <c r="G72" s="12">
        <v>1.7</v>
      </c>
      <c r="H72" s="9" t="s">
        <v>9</v>
      </c>
      <c r="I72" s="9" t="s">
        <v>10</v>
      </c>
      <c r="J72" s="9" t="s">
        <v>11</v>
      </c>
      <c r="K72"/>
      <c r="U72"/>
      <c r="V72"/>
    </row>
    <row r="73" spans="1:22" ht="18" hidden="1">
      <c r="A73" s="9">
        <f>IF(Table1[[#This Row],[کد کوپ]]&lt;1,0,A72+1)</f>
        <v>72</v>
      </c>
      <c r="B73" s="9">
        <v>4349</v>
      </c>
      <c r="C73" s="10">
        <v>45230</v>
      </c>
      <c r="D73" s="11">
        <v>9.9499999999999993</v>
      </c>
      <c r="E73" s="12">
        <v>1.77</v>
      </c>
      <c r="F73" s="12">
        <v>1.65</v>
      </c>
      <c r="G73" s="12">
        <v>1.32</v>
      </c>
      <c r="H73" s="9" t="s">
        <v>9</v>
      </c>
      <c r="I73" s="9" t="s">
        <v>10</v>
      </c>
      <c r="J73" s="9" t="s">
        <v>11</v>
      </c>
      <c r="K73"/>
      <c r="U73"/>
      <c r="V73"/>
    </row>
    <row r="74" spans="1:22" ht="18" hidden="1">
      <c r="A74" s="9">
        <f>IF(Table1[[#This Row],[کد کوپ]]&lt;1,0,A73+1)</f>
        <v>73</v>
      </c>
      <c r="B74" s="9">
        <v>4350</v>
      </c>
      <c r="C74" s="10">
        <v>45230</v>
      </c>
      <c r="D74" s="11">
        <v>12.1</v>
      </c>
      <c r="E74" s="12">
        <v>2.93</v>
      </c>
      <c r="F74" s="12">
        <v>1.8</v>
      </c>
      <c r="G74" s="12">
        <v>0.9</v>
      </c>
      <c r="H74" s="9" t="s">
        <v>9</v>
      </c>
      <c r="I74" s="9" t="s">
        <v>10</v>
      </c>
      <c r="J74" s="9" t="s">
        <v>11</v>
      </c>
      <c r="K74"/>
      <c r="U74"/>
      <c r="V74"/>
    </row>
    <row r="75" spans="1:22" ht="18" hidden="1">
      <c r="A75" s="9">
        <f>IF(Table1[[#This Row],[کد کوپ]]&lt;1,0,A74+1)</f>
        <v>74</v>
      </c>
      <c r="B75" s="9">
        <v>4351</v>
      </c>
      <c r="C75" s="10">
        <v>45230</v>
      </c>
      <c r="D75" s="11">
        <v>10.58</v>
      </c>
      <c r="E75" s="12">
        <v>1.9</v>
      </c>
      <c r="F75" s="12">
        <v>1.6</v>
      </c>
      <c r="G75" s="12">
        <v>1.25</v>
      </c>
      <c r="H75" s="9" t="s">
        <v>9</v>
      </c>
      <c r="I75" s="9" t="s">
        <v>10</v>
      </c>
      <c r="J75" s="9" t="s">
        <v>11</v>
      </c>
      <c r="K75"/>
      <c r="U75"/>
      <c r="V75"/>
    </row>
    <row r="76" spans="1:22" ht="18" hidden="1">
      <c r="A76" s="9">
        <f>IF(Table1[[#This Row],[کد کوپ]]&lt;1,0,A75+1)</f>
        <v>75</v>
      </c>
      <c r="B76" s="9">
        <v>4352</v>
      </c>
      <c r="C76" s="10">
        <v>45233</v>
      </c>
      <c r="D76" s="11">
        <v>22.33</v>
      </c>
      <c r="E76" s="12">
        <v>2.65</v>
      </c>
      <c r="F76" s="12">
        <v>1.7</v>
      </c>
      <c r="G76" s="12">
        <v>1.8</v>
      </c>
      <c r="H76" s="9" t="s">
        <v>9</v>
      </c>
      <c r="I76" s="9" t="s">
        <v>10</v>
      </c>
      <c r="J76" s="9" t="s">
        <v>11</v>
      </c>
      <c r="K76"/>
      <c r="U76"/>
      <c r="V76"/>
    </row>
    <row r="77" spans="1:22" ht="18" hidden="1">
      <c r="A77" s="9">
        <f>IF(Table1[[#This Row],[کد کوپ]]&lt;1,0,A76+1)</f>
        <v>76</v>
      </c>
      <c r="B77" s="9">
        <v>4353</v>
      </c>
      <c r="C77" s="10">
        <v>45234</v>
      </c>
      <c r="D77" s="11">
        <v>22</v>
      </c>
      <c r="E77" s="12">
        <v>2.7</v>
      </c>
      <c r="F77" s="12">
        <v>1.75</v>
      </c>
      <c r="G77" s="12">
        <v>1.75</v>
      </c>
      <c r="H77" s="9" t="s">
        <v>9</v>
      </c>
      <c r="I77" s="9" t="s">
        <v>10</v>
      </c>
      <c r="J77" s="9" t="s">
        <v>11</v>
      </c>
      <c r="K77"/>
      <c r="U77"/>
      <c r="V77"/>
    </row>
    <row r="78" spans="1:22" ht="18" hidden="1">
      <c r="A78" s="9">
        <f>IF(Table1[[#This Row],[کد کوپ]]&lt;1,0,A77+1)</f>
        <v>77</v>
      </c>
      <c r="B78" s="9">
        <v>4354</v>
      </c>
      <c r="C78" s="10">
        <v>45236</v>
      </c>
      <c r="D78" s="11">
        <v>13.1</v>
      </c>
      <c r="E78" s="12">
        <v>1.9</v>
      </c>
      <c r="F78" s="12">
        <v>1.75</v>
      </c>
      <c r="G78" s="12">
        <v>1.48</v>
      </c>
      <c r="H78" s="9" t="s">
        <v>9</v>
      </c>
      <c r="I78" s="9" t="s">
        <v>10</v>
      </c>
      <c r="J78" s="9" t="s">
        <v>11</v>
      </c>
      <c r="K78"/>
      <c r="U78"/>
      <c r="V78"/>
    </row>
    <row r="79" spans="1:22" ht="18" hidden="1">
      <c r="A79" s="9">
        <f>IF(Table1[[#This Row],[کد کوپ]]&lt;1,0,A78+1)</f>
        <v>78</v>
      </c>
      <c r="B79" s="9">
        <v>4355</v>
      </c>
      <c r="C79" s="10">
        <v>45236</v>
      </c>
      <c r="D79" s="11">
        <v>10.5</v>
      </c>
      <c r="E79" s="12">
        <v>1.85</v>
      </c>
      <c r="F79" s="12">
        <v>1.6</v>
      </c>
      <c r="G79" s="12">
        <v>1.3</v>
      </c>
      <c r="H79" s="9" t="s">
        <v>9</v>
      </c>
      <c r="I79" s="9" t="s">
        <v>10</v>
      </c>
      <c r="J79" s="9" t="s">
        <v>11</v>
      </c>
      <c r="K79"/>
      <c r="U79"/>
      <c r="V79"/>
    </row>
    <row r="80" spans="1:22" ht="18" hidden="1">
      <c r="A80" s="9">
        <f>IF(Table1[[#This Row],[کد کوپ]]&lt;1,0,A79+1)</f>
        <v>79</v>
      </c>
      <c r="B80" s="9">
        <v>4356</v>
      </c>
      <c r="C80" s="10">
        <v>45237</v>
      </c>
      <c r="D80" s="11">
        <v>6.6</v>
      </c>
      <c r="E80" s="12">
        <v>3.04</v>
      </c>
      <c r="F80" s="12">
        <v>1.95</v>
      </c>
      <c r="G80" s="12">
        <v>0.42</v>
      </c>
      <c r="H80" s="9" t="s">
        <v>23</v>
      </c>
      <c r="I80" s="9" t="s">
        <v>24</v>
      </c>
      <c r="J80" s="9" t="s">
        <v>25</v>
      </c>
      <c r="K80"/>
      <c r="U80"/>
      <c r="V80"/>
    </row>
    <row r="81" spans="1:22" ht="18" hidden="1">
      <c r="A81" s="9">
        <f>IF(Table1[[#This Row],[کد کوپ]]&lt;1,0,A80+1)</f>
        <v>80</v>
      </c>
      <c r="B81" s="9">
        <v>4357</v>
      </c>
      <c r="C81" s="10">
        <v>45237</v>
      </c>
      <c r="D81" s="11">
        <v>5.68</v>
      </c>
      <c r="E81" s="12">
        <v>3</v>
      </c>
      <c r="F81" s="12">
        <v>1.84</v>
      </c>
      <c r="G81" s="12">
        <v>0.32</v>
      </c>
      <c r="H81" s="9" t="s">
        <v>23</v>
      </c>
      <c r="I81" s="9" t="s">
        <v>24</v>
      </c>
      <c r="J81" s="9" t="s">
        <v>25</v>
      </c>
      <c r="K81"/>
      <c r="U81"/>
      <c r="V81"/>
    </row>
    <row r="82" spans="1:22" ht="18">
      <c r="A82" s="9">
        <f>IF(Table1[[#This Row],[کد کوپ]]&lt;1,0,A81+1)</f>
        <v>81</v>
      </c>
      <c r="B82" s="9">
        <v>4358</v>
      </c>
      <c r="C82" s="10">
        <v>45239</v>
      </c>
      <c r="D82" s="11">
        <v>20.100000000000001</v>
      </c>
      <c r="E82" s="12">
        <v>2.2000000000000002</v>
      </c>
      <c r="F82" s="12">
        <v>2</v>
      </c>
      <c r="G82" s="12">
        <v>1.7</v>
      </c>
      <c r="H82" s="9" t="s">
        <v>26</v>
      </c>
      <c r="I82" s="9" t="s">
        <v>27</v>
      </c>
      <c r="J82" s="9" t="s">
        <v>28</v>
      </c>
      <c r="K82"/>
      <c r="U82"/>
      <c r="V82"/>
    </row>
    <row r="83" spans="1:22" ht="18">
      <c r="A83" s="9">
        <f>IF(Table1[[#This Row],[کد کوپ]]&lt;1,0,A82+1)</f>
        <v>82</v>
      </c>
      <c r="B83" s="9">
        <v>4359</v>
      </c>
      <c r="C83" s="10">
        <v>45239</v>
      </c>
      <c r="D83" s="11">
        <v>17.8</v>
      </c>
      <c r="E83" s="12">
        <v>2.8</v>
      </c>
      <c r="F83" s="12">
        <v>1.7</v>
      </c>
      <c r="G83" s="12">
        <v>1.3</v>
      </c>
      <c r="H83" s="9" t="s">
        <v>26</v>
      </c>
      <c r="I83" s="9" t="s">
        <v>27</v>
      </c>
      <c r="J83" s="9" t="s">
        <v>28</v>
      </c>
      <c r="K83"/>
      <c r="U83"/>
      <c r="V83"/>
    </row>
    <row r="84" spans="1:22" ht="18" hidden="1">
      <c r="A84" s="9">
        <f>IF(Table1[[#This Row],[کد کوپ]]&lt;1,0,A83+1)</f>
        <v>83</v>
      </c>
      <c r="B84" s="9">
        <v>4360</v>
      </c>
      <c r="C84" s="10">
        <v>45241</v>
      </c>
      <c r="D84" s="11">
        <v>26.14</v>
      </c>
      <c r="E84" s="12">
        <v>2.9</v>
      </c>
      <c r="F84" s="12">
        <v>1.85</v>
      </c>
      <c r="G84" s="12">
        <v>1.8</v>
      </c>
      <c r="H84" s="9" t="s">
        <v>9</v>
      </c>
      <c r="I84" s="9" t="s">
        <v>10</v>
      </c>
      <c r="J84" s="9" t="s">
        <v>11</v>
      </c>
      <c r="K84"/>
      <c r="U84"/>
      <c r="V84"/>
    </row>
    <row r="85" spans="1:22" ht="18" hidden="1">
      <c r="A85" s="9">
        <f>IF(Table1[[#This Row],[کد کوپ]]&lt;1,0,A84+1)</f>
        <v>84</v>
      </c>
      <c r="B85" s="9">
        <v>4361</v>
      </c>
      <c r="C85" s="10">
        <v>45241</v>
      </c>
      <c r="D85" s="11">
        <v>19</v>
      </c>
      <c r="E85" s="12">
        <v>2.7</v>
      </c>
      <c r="F85" s="12">
        <v>1.7</v>
      </c>
      <c r="G85" s="12">
        <v>1.5</v>
      </c>
      <c r="H85" s="9" t="s">
        <v>23</v>
      </c>
      <c r="I85" s="9" t="s">
        <v>24</v>
      </c>
      <c r="J85" s="9" t="s">
        <v>29</v>
      </c>
      <c r="K85"/>
      <c r="U85"/>
      <c r="V85"/>
    </row>
    <row r="86" spans="1:22" ht="18" hidden="1">
      <c r="A86" s="9">
        <f>IF(Table1[[#This Row],[کد کوپ]]&lt;1,0,A85+1)</f>
        <v>85</v>
      </c>
      <c r="B86" s="9">
        <v>4362</v>
      </c>
      <c r="C86" s="10">
        <v>45241</v>
      </c>
      <c r="D86" s="11">
        <v>22.1</v>
      </c>
      <c r="E86" s="12">
        <v>3</v>
      </c>
      <c r="F86" s="12">
        <v>1.97</v>
      </c>
      <c r="G86" s="12">
        <v>1.3</v>
      </c>
      <c r="H86" s="9" t="s">
        <v>23</v>
      </c>
      <c r="I86" s="9" t="s">
        <v>24</v>
      </c>
      <c r="J86" s="9" t="s">
        <v>30</v>
      </c>
      <c r="K86"/>
      <c r="U86"/>
      <c r="V86"/>
    </row>
    <row r="87" spans="1:22" ht="18" hidden="1">
      <c r="A87" s="9">
        <f>IF(Table1[[#This Row],[کد کوپ]]&lt;1,0,A86+1)</f>
        <v>86</v>
      </c>
      <c r="B87" s="9">
        <v>4363</v>
      </c>
      <c r="C87" s="10">
        <v>45242</v>
      </c>
      <c r="D87" s="11">
        <v>25.305</v>
      </c>
      <c r="E87" s="12">
        <v>2.9</v>
      </c>
      <c r="F87" s="12">
        <v>1.8</v>
      </c>
      <c r="G87" s="12">
        <v>1.75</v>
      </c>
      <c r="H87" s="9" t="s">
        <v>9</v>
      </c>
      <c r="I87" s="9" t="s">
        <v>10</v>
      </c>
      <c r="J87" s="9" t="s">
        <v>11</v>
      </c>
      <c r="K87"/>
      <c r="U87"/>
      <c r="V87"/>
    </row>
    <row r="88" spans="1:22" ht="18" hidden="1">
      <c r="A88" s="9">
        <f>IF(Table1[[#This Row],[کد کوپ]]&lt;1,0,A87+1)</f>
        <v>87</v>
      </c>
      <c r="B88" s="9">
        <v>4364</v>
      </c>
      <c r="C88" s="10">
        <v>45242</v>
      </c>
      <c r="D88" s="11">
        <v>24.11</v>
      </c>
      <c r="E88" s="12">
        <v>2.9</v>
      </c>
      <c r="F88" s="12">
        <v>1.8</v>
      </c>
      <c r="G88" s="12">
        <v>1.7</v>
      </c>
      <c r="H88" s="9" t="s">
        <v>9</v>
      </c>
      <c r="I88" s="9" t="s">
        <v>10</v>
      </c>
      <c r="J88" s="9" t="s">
        <v>11</v>
      </c>
      <c r="K88"/>
      <c r="U88"/>
      <c r="V88"/>
    </row>
    <row r="89" spans="1:22" ht="18" hidden="1">
      <c r="A89" s="9">
        <f>IF(Table1[[#This Row],[کد کوپ]]&lt;1,0,A88+1)</f>
        <v>88</v>
      </c>
      <c r="B89" s="9">
        <v>4365</v>
      </c>
      <c r="C89" s="10">
        <v>45242</v>
      </c>
      <c r="D89" s="11">
        <v>24.8</v>
      </c>
      <c r="E89" s="12">
        <v>3</v>
      </c>
      <c r="F89" s="12">
        <v>2</v>
      </c>
      <c r="G89" s="12">
        <v>1.55</v>
      </c>
      <c r="H89" s="9" t="s">
        <v>23</v>
      </c>
      <c r="I89" s="9" t="s">
        <v>10</v>
      </c>
      <c r="J89" s="9" t="s">
        <v>31</v>
      </c>
      <c r="K89"/>
      <c r="U89"/>
      <c r="V89"/>
    </row>
    <row r="90" spans="1:22" ht="18" hidden="1">
      <c r="A90" s="9">
        <f>IF(Table1[[#This Row],[کد کوپ]]&lt;1,0,A89+1)</f>
        <v>89</v>
      </c>
      <c r="B90" s="9">
        <v>4366</v>
      </c>
      <c r="C90" s="10">
        <v>45243</v>
      </c>
      <c r="D90" s="11">
        <v>25.71</v>
      </c>
      <c r="E90" s="12">
        <v>2.95</v>
      </c>
      <c r="F90" s="12">
        <v>1.85</v>
      </c>
      <c r="G90" s="12">
        <v>1.8</v>
      </c>
      <c r="H90" s="9" t="s">
        <v>9</v>
      </c>
      <c r="I90" s="9" t="s">
        <v>10</v>
      </c>
      <c r="J90" s="9" t="s">
        <v>11</v>
      </c>
      <c r="K90"/>
      <c r="U90"/>
      <c r="V90"/>
    </row>
    <row r="91" spans="1:22" ht="18" hidden="1">
      <c r="A91" s="9">
        <f>IF(Table1[[#This Row],[کد کوپ]]&lt;1,0,A90+1)</f>
        <v>90</v>
      </c>
      <c r="B91" s="9">
        <v>4367</v>
      </c>
      <c r="C91" s="10">
        <v>45244</v>
      </c>
      <c r="D91" s="11">
        <v>3.95</v>
      </c>
      <c r="E91" s="12">
        <v>2.4</v>
      </c>
      <c r="F91" s="12">
        <v>1.85</v>
      </c>
      <c r="G91" s="12">
        <v>0.28000000000000003</v>
      </c>
      <c r="H91" s="9" t="s">
        <v>23</v>
      </c>
      <c r="I91" s="9" t="s">
        <v>24</v>
      </c>
      <c r="J91" s="9" t="s">
        <v>25</v>
      </c>
      <c r="K91"/>
      <c r="U91"/>
      <c r="V91"/>
    </row>
    <row r="92" spans="1:22" ht="18" hidden="1">
      <c r="A92" s="9">
        <f>IF(Table1[[#This Row],[کد کوپ]]&lt;1,0,A91+1)</f>
        <v>91</v>
      </c>
      <c r="B92" s="9">
        <v>4368</v>
      </c>
      <c r="C92" s="10">
        <v>45244</v>
      </c>
      <c r="D92" s="11">
        <v>3.8</v>
      </c>
      <c r="E92" s="12">
        <v>1.9</v>
      </c>
      <c r="F92" s="12">
        <v>1.4</v>
      </c>
      <c r="G92" s="12">
        <v>0.5</v>
      </c>
      <c r="H92" s="9" t="s">
        <v>23</v>
      </c>
      <c r="I92" s="9" t="s">
        <v>24</v>
      </c>
      <c r="J92" s="9" t="s">
        <v>25</v>
      </c>
      <c r="K92"/>
      <c r="U92"/>
      <c r="V92"/>
    </row>
    <row r="93" spans="1:22" ht="18" hidden="1">
      <c r="A93" s="9">
        <f>IF(Table1[[#This Row],[کد کوپ]]&lt;1,0,A92+1)</f>
        <v>92</v>
      </c>
      <c r="B93" s="9">
        <v>4369</v>
      </c>
      <c r="C93" s="10">
        <v>45244</v>
      </c>
      <c r="D93" s="11">
        <v>22</v>
      </c>
      <c r="E93" s="12">
        <v>2.8</v>
      </c>
      <c r="F93" s="12">
        <v>1.9</v>
      </c>
      <c r="G93" s="12">
        <v>1.5</v>
      </c>
      <c r="H93" s="9" t="s">
        <v>9</v>
      </c>
      <c r="I93" s="9" t="s">
        <v>10</v>
      </c>
      <c r="J93" s="9" t="s">
        <v>11</v>
      </c>
      <c r="K93"/>
      <c r="U93"/>
      <c r="V93"/>
    </row>
    <row r="94" spans="1:22" ht="18" hidden="1">
      <c r="A94" s="9">
        <f>IF(Table1[[#This Row],[کد کوپ]]&lt;1,0,A93+1)</f>
        <v>93</v>
      </c>
      <c r="B94" s="9">
        <v>4370</v>
      </c>
      <c r="C94" s="10">
        <v>45248</v>
      </c>
      <c r="D94" s="11">
        <v>11.85</v>
      </c>
      <c r="E94" s="12">
        <v>3</v>
      </c>
      <c r="F94" s="12">
        <v>1.8</v>
      </c>
      <c r="G94" s="12">
        <v>0.65</v>
      </c>
      <c r="H94" s="9" t="s">
        <v>23</v>
      </c>
      <c r="I94" s="9" t="s">
        <v>24</v>
      </c>
      <c r="J94" s="9" t="s">
        <v>25</v>
      </c>
      <c r="K94"/>
      <c r="U94"/>
      <c r="V94"/>
    </row>
    <row r="95" spans="1:22" ht="18" hidden="1">
      <c r="A95" s="9">
        <f>IF(Table1[[#This Row],[کد کوپ]]&lt;1,0,A94+1)</f>
        <v>94</v>
      </c>
      <c r="B95" s="9">
        <v>4371</v>
      </c>
      <c r="C95" s="10">
        <v>45248</v>
      </c>
      <c r="D95" s="11">
        <v>11.5</v>
      </c>
      <c r="E95" s="12">
        <v>3</v>
      </c>
      <c r="F95" s="12">
        <v>1.95</v>
      </c>
      <c r="G95" s="12">
        <v>0.7</v>
      </c>
      <c r="H95" s="9" t="s">
        <v>23</v>
      </c>
      <c r="I95" s="9" t="s">
        <v>24</v>
      </c>
      <c r="J95" s="9" t="s">
        <v>25</v>
      </c>
      <c r="K95"/>
      <c r="U95"/>
      <c r="V95"/>
    </row>
    <row r="96" spans="1:22" ht="18" hidden="1">
      <c r="A96" s="9">
        <f>IF(Table1[[#This Row],[کد کوپ]]&lt;1,0,A95+1)</f>
        <v>95</v>
      </c>
      <c r="B96" s="9">
        <v>4372</v>
      </c>
      <c r="C96" s="10">
        <v>45249</v>
      </c>
      <c r="D96" s="11">
        <v>27.05</v>
      </c>
      <c r="E96" s="12">
        <v>2.95</v>
      </c>
      <c r="F96" s="12">
        <v>1.95</v>
      </c>
      <c r="G96" s="12">
        <v>1.75</v>
      </c>
      <c r="H96" s="9" t="s">
        <v>9</v>
      </c>
      <c r="I96" s="9" t="s">
        <v>10</v>
      </c>
      <c r="J96" s="9" t="s">
        <v>11</v>
      </c>
      <c r="K96"/>
      <c r="U96"/>
      <c r="V96"/>
    </row>
    <row r="97" spans="1:22" ht="18" hidden="1">
      <c r="A97" s="9">
        <f>IF(Table1[[#This Row],[کد کوپ]]&lt;1,0,A96+1)</f>
        <v>96</v>
      </c>
      <c r="B97" s="9">
        <v>4373</v>
      </c>
      <c r="C97" s="10">
        <v>45249</v>
      </c>
      <c r="D97" s="11">
        <v>25.5</v>
      </c>
      <c r="E97" s="12">
        <v>2.9</v>
      </c>
      <c r="F97" s="12">
        <v>1.8</v>
      </c>
      <c r="G97" s="12">
        <v>1.8</v>
      </c>
      <c r="H97" s="9" t="s">
        <v>9</v>
      </c>
      <c r="I97" s="9" t="s">
        <v>10</v>
      </c>
      <c r="J97" s="9" t="s">
        <v>11</v>
      </c>
      <c r="K97"/>
      <c r="U97"/>
      <c r="V97"/>
    </row>
    <row r="98" spans="1:22" ht="18" hidden="1">
      <c r="A98" s="9">
        <f>IF(Table1[[#This Row],[کد کوپ]]&lt;1,0,A97+1)</f>
        <v>97</v>
      </c>
      <c r="B98" s="9">
        <v>4374</v>
      </c>
      <c r="C98" s="10">
        <v>45249</v>
      </c>
      <c r="D98" s="11">
        <v>24.1</v>
      </c>
      <c r="E98" s="12">
        <v>2.85</v>
      </c>
      <c r="F98" s="12">
        <v>1.8</v>
      </c>
      <c r="G98" s="12">
        <v>1.8</v>
      </c>
      <c r="H98" s="9" t="s">
        <v>9</v>
      </c>
      <c r="I98" s="9" t="s">
        <v>10</v>
      </c>
      <c r="J98" s="9" t="s">
        <v>11</v>
      </c>
      <c r="K98"/>
      <c r="U98"/>
      <c r="V98"/>
    </row>
    <row r="99" spans="1:22" ht="18" hidden="1">
      <c r="A99" s="9">
        <f>IF(Table1[[#This Row],[کد کوپ]]&lt;1,0,A98+1)</f>
        <v>98</v>
      </c>
      <c r="B99" s="9">
        <v>4375</v>
      </c>
      <c r="C99" s="10">
        <v>45249</v>
      </c>
      <c r="D99" s="11">
        <v>14.15</v>
      </c>
      <c r="E99" s="12">
        <v>2.1</v>
      </c>
      <c r="F99" s="12">
        <v>1.8</v>
      </c>
      <c r="G99" s="12">
        <v>1.4</v>
      </c>
      <c r="H99" s="9" t="s">
        <v>9</v>
      </c>
      <c r="I99" s="9" t="s">
        <v>10</v>
      </c>
      <c r="J99" s="9" t="s">
        <v>11</v>
      </c>
      <c r="K99"/>
      <c r="U99"/>
      <c r="V99"/>
    </row>
    <row r="100" spans="1:22" ht="18" hidden="1">
      <c r="A100" s="9">
        <f>IF(Table1[[#This Row],[کد کوپ]]&lt;1,0,A99+1)</f>
        <v>99</v>
      </c>
      <c r="B100" s="9">
        <v>4376</v>
      </c>
      <c r="C100" s="10">
        <v>45249</v>
      </c>
      <c r="D100" s="11">
        <v>9</v>
      </c>
      <c r="E100" s="12">
        <v>2.83</v>
      </c>
      <c r="F100" s="12">
        <v>1.1499999999999999</v>
      </c>
      <c r="G100" s="12">
        <v>1</v>
      </c>
      <c r="H100" s="9" t="s">
        <v>9</v>
      </c>
      <c r="I100" s="9" t="s">
        <v>10</v>
      </c>
      <c r="J100" s="9" t="s">
        <v>11</v>
      </c>
      <c r="K100"/>
      <c r="U100"/>
      <c r="V100"/>
    </row>
    <row r="101" spans="1:22" ht="18" hidden="1">
      <c r="A101" s="9">
        <f>IF(Table1[[#This Row],[کد کوپ]]&lt;1,0,A100+1)</f>
        <v>100</v>
      </c>
      <c r="B101" s="9">
        <v>4377</v>
      </c>
      <c r="C101" s="10">
        <v>45250</v>
      </c>
      <c r="D101" s="11">
        <v>22</v>
      </c>
      <c r="E101" s="12">
        <v>2.5</v>
      </c>
      <c r="F101" s="12">
        <v>1.85</v>
      </c>
      <c r="G101" s="12">
        <v>1.7</v>
      </c>
      <c r="H101" s="9" t="s">
        <v>9</v>
      </c>
      <c r="I101" s="9" t="s">
        <v>10</v>
      </c>
      <c r="J101" s="9" t="s">
        <v>11</v>
      </c>
      <c r="K101"/>
      <c r="U101"/>
      <c r="V101"/>
    </row>
    <row r="102" spans="1:22" ht="18" hidden="1">
      <c r="A102" s="9">
        <f>IF(Table1[[#This Row],[کد کوپ]]&lt;1,0,A101+1)</f>
        <v>101</v>
      </c>
      <c r="B102" s="9">
        <v>4378</v>
      </c>
      <c r="C102" s="10">
        <v>45252</v>
      </c>
      <c r="D102" s="11">
        <v>20.100000000000001</v>
      </c>
      <c r="E102" s="12">
        <v>2.85</v>
      </c>
      <c r="F102" s="12">
        <v>1.8</v>
      </c>
      <c r="G102" s="12">
        <v>1.42</v>
      </c>
      <c r="H102" s="9" t="s">
        <v>9</v>
      </c>
      <c r="I102" s="9" t="s">
        <v>10</v>
      </c>
      <c r="J102" s="9" t="s">
        <v>11</v>
      </c>
      <c r="K102"/>
      <c r="U102"/>
      <c r="V102"/>
    </row>
    <row r="103" spans="1:22" ht="18" hidden="1">
      <c r="A103" s="9">
        <f>IF(Table1[[#This Row],[کد کوپ]]&lt;1,0,A102+1)</f>
        <v>102</v>
      </c>
      <c r="B103" s="9">
        <v>4379</v>
      </c>
      <c r="C103" s="10">
        <v>45254</v>
      </c>
      <c r="D103" s="11">
        <v>15.01</v>
      </c>
      <c r="E103" s="12">
        <v>2.8</v>
      </c>
      <c r="F103" s="12">
        <v>1.95</v>
      </c>
      <c r="G103" s="12">
        <v>1</v>
      </c>
      <c r="H103" s="9" t="s">
        <v>9</v>
      </c>
      <c r="I103" s="9" t="s">
        <v>10</v>
      </c>
      <c r="J103" s="9" t="s">
        <v>11</v>
      </c>
      <c r="K103"/>
      <c r="U103"/>
      <c r="V103"/>
    </row>
    <row r="104" spans="1:22" ht="18" hidden="1">
      <c r="A104" s="9">
        <f>IF(Table1[[#This Row],[کد کوپ]]&lt;1,0,A103+1)</f>
        <v>103</v>
      </c>
      <c r="B104" s="9">
        <v>4380</v>
      </c>
      <c r="C104" s="10">
        <v>45254</v>
      </c>
      <c r="D104" s="11">
        <v>8.85</v>
      </c>
      <c r="E104" s="12">
        <v>1.85</v>
      </c>
      <c r="F104" s="12">
        <v>1.6</v>
      </c>
      <c r="G104" s="12">
        <v>1.1499999999999999</v>
      </c>
      <c r="H104" s="9" t="s">
        <v>9</v>
      </c>
      <c r="I104" s="9" t="s">
        <v>10</v>
      </c>
      <c r="J104" s="9" t="s">
        <v>11</v>
      </c>
      <c r="K104"/>
      <c r="U104"/>
      <c r="V104"/>
    </row>
    <row r="105" spans="1:22" ht="18" hidden="1">
      <c r="A105" s="9">
        <f>IF(Table1[[#This Row],[کد کوپ]]&lt;1,0,A104+1)</f>
        <v>104</v>
      </c>
      <c r="B105" s="9">
        <v>4381</v>
      </c>
      <c r="C105" s="10">
        <v>45254</v>
      </c>
      <c r="D105" s="11">
        <v>24.9</v>
      </c>
      <c r="E105" s="12">
        <v>2.9</v>
      </c>
      <c r="F105" s="12">
        <v>1.8</v>
      </c>
      <c r="G105" s="12">
        <v>1.8</v>
      </c>
      <c r="H105" s="9" t="s">
        <v>9</v>
      </c>
      <c r="I105" s="9" t="s">
        <v>10</v>
      </c>
      <c r="J105" s="9" t="s">
        <v>11</v>
      </c>
      <c r="K105"/>
      <c r="U105"/>
      <c r="V105"/>
    </row>
    <row r="106" spans="1:22" ht="18" hidden="1">
      <c r="A106" s="9">
        <f>IF(Table1[[#This Row],[کد کوپ]]&lt;1,0,A105+1)</f>
        <v>105</v>
      </c>
      <c r="B106" s="9">
        <v>4382</v>
      </c>
      <c r="C106" s="10">
        <v>45255</v>
      </c>
      <c r="D106" s="11">
        <v>19.8</v>
      </c>
      <c r="E106" s="12">
        <v>2.65</v>
      </c>
      <c r="F106" s="12">
        <v>1.95</v>
      </c>
      <c r="G106" s="12">
        <v>1.4</v>
      </c>
      <c r="H106" s="9" t="s">
        <v>32</v>
      </c>
      <c r="I106" s="9" t="s">
        <v>10</v>
      </c>
      <c r="J106" s="9" t="s">
        <v>22</v>
      </c>
      <c r="K106"/>
      <c r="U106"/>
      <c r="V106"/>
    </row>
    <row r="107" spans="1:22" ht="18" hidden="1">
      <c r="A107" s="9">
        <f>IF(Table1[[#This Row],[کد کوپ]]&lt;1,0,A106+1)</f>
        <v>106</v>
      </c>
      <c r="B107" s="9">
        <v>4383</v>
      </c>
      <c r="C107" s="10">
        <v>45255</v>
      </c>
      <c r="D107" s="11">
        <v>25.92</v>
      </c>
      <c r="E107" s="12">
        <v>2.95</v>
      </c>
      <c r="F107" s="12">
        <v>1.8</v>
      </c>
      <c r="G107" s="12">
        <v>1.8</v>
      </c>
      <c r="H107" s="9" t="s">
        <v>9</v>
      </c>
      <c r="I107" s="9" t="s">
        <v>10</v>
      </c>
      <c r="J107" s="9" t="s">
        <v>11</v>
      </c>
      <c r="K107"/>
      <c r="U107"/>
      <c r="V107"/>
    </row>
    <row r="108" spans="1:22" ht="18" hidden="1">
      <c r="A108" s="9">
        <f>IF(Table1[[#This Row],[کد کوپ]]&lt;1,0,A107+1)</f>
        <v>107</v>
      </c>
      <c r="B108" s="9">
        <v>4384</v>
      </c>
      <c r="C108" s="10">
        <v>45255</v>
      </c>
      <c r="D108" s="11">
        <v>26.56</v>
      </c>
      <c r="E108" s="12">
        <v>2.95</v>
      </c>
      <c r="F108" s="12">
        <v>1.93</v>
      </c>
      <c r="G108" s="12">
        <v>1.75</v>
      </c>
      <c r="H108" s="9" t="s">
        <v>9</v>
      </c>
      <c r="I108" s="9" t="s">
        <v>10</v>
      </c>
      <c r="J108" s="9" t="s">
        <v>11</v>
      </c>
      <c r="K108"/>
      <c r="U108"/>
      <c r="V108"/>
    </row>
    <row r="109" spans="1:22" ht="18" hidden="1">
      <c r="A109" s="9">
        <f>IF(Table1[[#This Row],[کد کوپ]]&lt;1,0,A108+1)</f>
        <v>108</v>
      </c>
      <c r="B109" s="9">
        <v>4385</v>
      </c>
      <c r="C109" s="10">
        <v>45257</v>
      </c>
      <c r="D109" s="11">
        <v>22.35</v>
      </c>
      <c r="E109" s="12">
        <v>2.56</v>
      </c>
      <c r="F109" s="12">
        <v>1.83</v>
      </c>
      <c r="G109" s="12">
        <v>1.8</v>
      </c>
      <c r="H109" s="9" t="s">
        <v>9</v>
      </c>
      <c r="I109" s="9" t="s">
        <v>10</v>
      </c>
      <c r="J109" s="9" t="s">
        <v>11</v>
      </c>
      <c r="K109"/>
      <c r="U109"/>
      <c r="V109"/>
    </row>
    <row r="110" spans="1:22" ht="18" hidden="1">
      <c r="A110" s="9">
        <f>IF(Table1[[#This Row],[کد کوپ]]&lt;1,0,A109+1)</f>
        <v>109</v>
      </c>
      <c r="B110" s="9">
        <v>4386</v>
      </c>
      <c r="C110" s="10">
        <v>45260</v>
      </c>
      <c r="D110" s="11">
        <v>24.7</v>
      </c>
      <c r="E110" s="12">
        <v>2.5299999999999998</v>
      </c>
      <c r="F110" s="12">
        <v>1.97</v>
      </c>
      <c r="G110" s="12">
        <v>1.83</v>
      </c>
      <c r="H110" s="9" t="s">
        <v>9</v>
      </c>
      <c r="I110" s="9" t="s">
        <v>10</v>
      </c>
      <c r="J110" s="9" t="s">
        <v>11</v>
      </c>
      <c r="K110"/>
      <c r="U110"/>
      <c r="V110"/>
    </row>
    <row r="111" spans="1:22" ht="18" hidden="1">
      <c r="A111" s="9">
        <f>IF(Table1[[#This Row],[کد کوپ]]&lt;1,0,A110+1)</f>
        <v>110</v>
      </c>
      <c r="B111" s="9">
        <v>4387</v>
      </c>
      <c r="C111" s="10">
        <v>45261</v>
      </c>
      <c r="D111" s="11">
        <v>22.555</v>
      </c>
      <c r="E111" s="12">
        <v>2.83</v>
      </c>
      <c r="F111" s="12">
        <v>1.93</v>
      </c>
      <c r="G111" s="12">
        <v>1.48</v>
      </c>
      <c r="H111" s="9" t="s">
        <v>9</v>
      </c>
      <c r="I111" s="9" t="s">
        <v>10</v>
      </c>
      <c r="J111" s="9" t="s">
        <v>11</v>
      </c>
      <c r="K111"/>
      <c r="U111"/>
      <c r="V111"/>
    </row>
    <row r="112" spans="1:22" ht="18" hidden="1">
      <c r="A112" s="9">
        <f>IF(Table1[[#This Row],[کد کوپ]]&lt;1,0,A111+1)</f>
        <v>111</v>
      </c>
      <c r="B112" s="9">
        <v>4388</v>
      </c>
      <c r="C112" s="10">
        <v>45261</v>
      </c>
      <c r="D112" s="11">
        <v>26.11</v>
      </c>
      <c r="E112" s="12">
        <v>2.9</v>
      </c>
      <c r="F112" s="12">
        <v>1.8</v>
      </c>
      <c r="G112" s="12">
        <v>1.8</v>
      </c>
      <c r="H112" s="9" t="s">
        <v>9</v>
      </c>
      <c r="I112" s="9" t="s">
        <v>10</v>
      </c>
      <c r="J112" s="9" t="s">
        <v>11</v>
      </c>
      <c r="K112"/>
      <c r="U112"/>
      <c r="V112"/>
    </row>
    <row r="113" spans="1:22" ht="18" hidden="1">
      <c r="A113" s="9">
        <f>IF(Table1[[#This Row],[کد کوپ]]&lt;1,0,A112+1)</f>
        <v>112</v>
      </c>
      <c r="B113" s="9">
        <v>4389</v>
      </c>
      <c r="C113" s="10">
        <v>45263</v>
      </c>
      <c r="D113" s="11">
        <v>22</v>
      </c>
      <c r="E113" s="12">
        <v>2.35</v>
      </c>
      <c r="F113" s="12">
        <v>1.85</v>
      </c>
      <c r="G113" s="12">
        <v>1.8</v>
      </c>
      <c r="H113" s="9" t="s">
        <v>9</v>
      </c>
      <c r="I113" s="9" t="s">
        <v>10</v>
      </c>
      <c r="J113" s="9" t="s">
        <v>11</v>
      </c>
      <c r="K113"/>
      <c r="U113"/>
      <c r="V113"/>
    </row>
    <row r="114" spans="1:22" ht="18" hidden="1">
      <c r="A114" s="9">
        <f>IF(Table1[[#This Row],[کد کوپ]]&lt;1,0,A113+1)</f>
        <v>113</v>
      </c>
      <c r="B114" s="9">
        <v>4390</v>
      </c>
      <c r="C114" s="10">
        <v>45263</v>
      </c>
      <c r="D114" s="11">
        <v>12.95</v>
      </c>
      <c r="E114" s="12">
        <v>2.2999999999999998</v>
      </c>
      <c r="F114" s="12">
        <v>1.85</v>
      </c>
      <c r="G114" s="12">
        <v>1.1000000000000001</v>
      </c>
      <c r="H114" s="9" t="s">
        <v>9</v>
      </c>
      <c r="I114" s="9" t="s">
        <v>10</v>
      </c>
      <c r="J114" s="9" t="s">
        <v>11</v>
      </c>
      <c r="K114"/>
      <c r="U114"/>
      <c r="V114"/>
    </row>
    <row r="115" spans="1:22" ht="18" hidden="1">
      <c r="A115" s="9">
        <f>IF(Table1[[#This Row],[کد کوپ]]&lt;1,0,A114+1)</f>
        <v>114</v>
      </c>
      <c r="B115" s="9">
        <v>4391</v>
      </c>
      <c r="C115" s="10">
        <v>45263</v>
      </c>
      <c r="D115" s="11">
        <v>13.1</v>
      </c>
      <c r="E115" s="12">
        <v>2.4</v>
      </c>
      <c r="F115" s="12">
        <v>1.85</v>
      </c>
      <c r="G115" s="12">
        <v>1.1000000000000001</v>
      </c>
      <c r="H115" s="9" t="s">
        <v>9</v>
      </c>
      <c r="I115" s="9" t="s">
        <v>10</v>
      </c>
      <c r="J115" s="9" t="s">
        <v>11</v>
      </c>
      <c r="K115"/>
      <c r="U115"/>
      <c r="V115"/>
    </row>
    <row r="116" spans="1:22" ht="18" hidden="1">
      <c r="A116" s="9">
        <f>IF(Table1[[#This Row],[کد کوپ]]&lt;1,0,A115+1)</f>
        <v>115</v>
      </c>
      <c r="B116" s="9">
        <v>4392</v>
      </c>
      <c r="C116" s="10">
        <v>45263</v>
      </c>
      <c r="D116" s="11">
        <v>13.2</v>
      </c>
      <c r="E116" s="12">
        <v>1.8</v>
      </c>
      <c r="F116" s="12">
        <v>1.7</v>
      </c>
      <c r="G116" s="12">
        <v>1.6</v>
      </c>
      <c r="H116" s="9" t="s">
        <v>9</v>
      </c>
      <c r="I116" s="9" t="s">
        <v>10</v>
      </c>
      <c r="J116" s="9" t="s">
        <v>11</v>
      </c>
      <c r="K116"/>
      <c r="U116"/>
      <c r="V116"/>
    </row>
    <row r="117" spans="1:22" ht="18" hidden="1">
      <c r="A117" s="9">
        <f>IF(Table1[[#This Row],[کد کوپ]]&lt;1,0,A116+1)</f>
        <v>116</v>
      </c>
      <c r="B117" s="9">
        <v>4393</v>
      </c>
      <c r="C117" s="10">
        <v>45263</v>
      </c>
      <c r="D117" s="11">
        <v>9.1</v>
      </c>
      <c r="E117" s="12">
        <v>1.8</v>
      </c>
      <c r="F117" s="12">
        <v>1.35</v>
      </c>
      <c r="G117" s="12">
        <v>1.35</v>
      </c>
      <c r="H117" s="9" t="s">
        <v>9</v>
      </c>
      <c r="I117" s="9" t="s">
        <v>10</v>
      </c>
      <c r="J117" s="9" t="s">
        <v>11</v>
      </c>
      <c r="K117"/>
      <c r="U117"/>
      <c r="V117"/>
    </row>
    <row r="118" spans="1:22" ht="18" hidden="1">
      <c r="A118" s="9">
        <f>IF(Table1[[#This Row],[کد کوپ]]&lt;1,0,A117+1)</f>
        <v>117</v>
      </c>
      <c r="B118" s="9">
        <v>4394</v>
      </c>
      <c r="C118" s="10">
        <v>45264</v>
      </c>
      <c r="D118" s="11">
        <v>16.7</v>
      </c>
      <c r="E118" s="12">
        <v>2.8</v>
      </c>
      <c r="F118" s="12">
        <v>1.5</v>
      </c>
      <c r="G118" s="12">
        <v>1.4</v>
      </c>
      <c r="H118" s="9" t="s">
        <v>23</v>
      </c>
      <c r="I118" s="9" t="s">
        <v>24</v>
      </c>
      <c r="J118" s="9" t="s">
        <v>25</v>
      </c>
      <c r="K118"/>
      <c r="U118"/>
      <c r="V118"/>
    </row>
    <row r="119" spans="1:22" ht="18" hidden="1">
      <c r="A119" s="9">
        <f>IF(Table1[[#This Row],[کد کوپ]]&lt;1,0,A118+1)</f>
        <v>118</v>
      </c>
      <c r="B119" s="9">
        <v>4395</v>
      </c>
      <c r="C119" s="10">
        <v>45265</v>
      </c>
      <c r="D119" s="11">
        <v>17.2</v>
      </c>
      <c r="E119" s="12">
        <v>2.85</v>
      </c>
      <c r="F119" s="12">
        <v>1.45</v>
      </c>
      <c r="G119" s="12">
        <v>1.45</v>
      </c>
      <c r="H119" s="9" t="s">
        <v>23</v>
      </c>
      <c r="I119" s="9" t="s">
        <v>24</v>
      </c>
      <c r="J119" s="9" t="s">
        <v>25</v>
      </c>
      <c r="K119"/>
      <c r="U119"/>
      <c r="V119"/>
    </row>
    <row r="120" spans="1:22" ht="18" hidden="1">
      <c r="A120" s="9">
        <f>IF(Table1[[#This Row],[کد کوپ]]&lt;1,0,A119+1)</f>
        <v>119</v>
      </c>
      <c r="B120" s="9">
        <v>4396</v>
      </c>
      <c r="C120" s="10">
        <v>45265</v>
      </c>
      <c r="D120" s="11">
        <v>25.335000000000001</v>
      </c>
      <c r="E120" s="12">
        <v>2.9</v>
      </c>
      <c r="F120" s="12">
        <v>1.93</v>
      </c>
      <c r="G120" s="12">
        <v>1.65</v>
      </c>
      <c r="H120" s="9" t="s">
        <v>9</v>
      </c>
      <c r="I120" s="9" t="s">
        <v>10</v>
      </c>
      <c r="J120" s="9" t="s">
        <v>11</v>
      </c>
      <c r="K120"/>
      <c r="U120"/>
      <c r="V120"/>
    </row>
    <row r="121" spans="1:22" ht="18" hidden="1">
      <c r="A121" s="9">
        <f>IF(Table1[[#This Row],[کد کوپ]]&lt;1,0,A120+1)</f>
        <v>120</v>
      </c>
      <c r="B121" s="9">
        <v>4397</v>
      </c>
      <c r="C121" s="10">
        <v>45266</v>
      </c>
      <c r="D121" s="11">
        <v>25.9</v>
      </c>
      <c r="E121" s="12">
        <v>2.9</v>
      </c>
      <c r="F121" s="12">
        <v>1.95</v>
      </c>
      <c r="G121" s="12">
        <v>1.7</v>
      </c>
      <c r="H121" s="9" t="s">
        <v>9</v>
      </c>
      <c r="I121" s="9" t="s">
        <v>10</v>
      </c>
      <c r="J121" s="9" t="s">
        <v>11</v>
      </c>
      <c r="K121"/>
      <c r="U121"/>
      <c r="V121"/>
    </row>
    <row r="122" spans="1:22" ht="18" hidden="1">
      <c r="A122" s="9">
        <f>IF(Table1[[#This Row],[کد کوپ]]&lt;1,0,A121+1)</f>
        <v>121</v>
      </c>
      <c r="B122" s="9">
        <v>4398</v>
      </c>
      <c r="C122" s="10">
        <v>45267</v>
      </c>
      <c r="D122" s="11">
        <v>22.6</v>
      </c>
      <c r="E122" s="12">
        <v>2.9</v>
      </c>
      <c r="F122" s="12">
        <v>1.93</v>
      </c>
      <c r="G122" s="12">
        <v>1.4</v>
      </c>
      <c r="H122" s="9" t="s">
        <v>23</v>
      </c>
      <c r="I122" s="9" t="s">
        <v>24</v>
      </c>
      <c r="J122" s="9" t="s">
        <v>33</v>
      </c>
      <c r="K122"/>
      <c r="U122"/>
      <c r="V122"/>
    </row>
    <row r="123" spans="1:22" ht="18" hidden="1">
      <c r="A123" s="9">
        <f>IF(Table1[[#This Row],[کد کوپ]]&lt;1,0,A122+1)</f>
        <v>122</v>
      </c>
      <c r="B123" s="9">
        <v>4399</v>
      </c>
      <c r="C123" s="10">
        <v>45269</v>
      </c>
      <c r="D123" s="11">
        <v>21.6</v>
      </c>
      <c r="E123" s="12">
        <v>2.95</v>
      </c>
      <c r="F123" s="12">
        <v>1.8</v>
      </c>
      <c r="G123" s="12">
        <v>1.65</v>
      </c>
      <c r="H123" s="9" t="s">
        <v>23</v>
      </c>
      <c r="I123" s="9" t="s">
        <v>34</v>
      </c>
      <c r="J123" s="9" t="s">
        <v>35</v>
      </c>
      <c r="K123"/>
      <c r="U123"/>
      <c r="V123"/>
    </row>
    <row r="124" spans="1:22" ht="18" hidden="1">
      <c r="A124" s="9">
        <f>IF(Table1[[#This Row],[کد کوپ]]&lt;1,0,A123+1)</f>
        <v>123</v>
      </c>
      <c r="B124" s="9">
        <v>4400</v>
      </c>
      <c r="C124" s="10">
        <v>45270</v>
      </c>
      <c r="D124" s="11">
        <v>25.5</v>
      </c>
      <c r="E124" s="12">
        <v>2.8</v>
      </c>
      <c r="F124" s="12">
        <v>1.85</v>
      </c>
      <c r="G124" s="12">
        <v>1.7</v>
      </c>
      <c r="H124" s="9" t="s">
        <v>9</v>
      </c>
      <c r="I124" s="9" t="s">
        <v>10</v>
      </c>
      <c r="J124" s="9" t="s">
        <v>11</v>
      </c>
      <c r="K124"/>
      <c r="U124"/>
      <c r="V124"/>
    </row>
    <row r="125" spans="1:22" ht="18" hidden="1">
      <c r="A125" s="9">
        <f>IF(Table1[[#This Row],[کد کوپ]]&lt;1,0,A124+1)</f>
        <v>124</v>
      </c>
      <c r="B125" s="9">
        <v>4401</v>
      </c>
      <c r="C125" s="10">
        <v>45272</v>
      </c>
      <c r="D125" s="11">
        <v>7.3</v>
      </c>
      <c r="E125" s="12">
        <v>2.8</v>
      </c>
      <c r="F125" s="12">
        <v>1.9</v>
      </c>
      <c r="G125" s="12">
        <v>0.5</v>
      </c>
      <c r="H125" s="9" t="s">
        <v>23</v>
      </c>
      <c r="I125" s="9" t="s">
        <v>24</v>
      </c>
      <c r="J125" s="9" t="s">
        <v>25</v>
      </c>
      <c r="K125"/>
      <c r="U125"/>
      <c r="V125"/>
    </row>
    <row r="126" spans="1:22" ht="18" hidden="1">
      <c r="A126" s="9">
        <f>IF(Table1[[#This Row],[کد کوپ]]&lt;1,0,A125+1)</f>
        <v>125</v>
      </c>
      <c r="B126" s="9">
        <v>4402</v>
      </c>
      <c r="C126" s="10">
        <v>45272</v>
      </c>
      <c r="D126" s="11">
        <v>8.6</v>
      </c>
      <c r="E126" s="12">
        <v>3</v>
      </c>
      <c r="F126" s="12">
        <v>2</v>
      </c>
      <c r="G126" s="12">
        <v>0.55000000000000004</v>
      </c>
      <c r="H126" s="9" t="s">
        <v>23</v>
      </c>
      <c r="I126" s="9" t="s">
        <v>24</v>
      </c>
      <c r="J126" s="9" t="s">
        <v>25</v>
      </c>
      <c r="K126"/>
      <c r="U126"/>
      <c r="V126"/>
    </row>
    <row r="127" spans="1:22" ht="18" hidden="1">
      <c r="A127" s="9">
        <f>IF(Table1[[#This Row],[کد کوپ]]&lt;1,0,A126+1)</f>
        <v>126</v>
      </c>
      <c r="B127" s="9">
        <v>4403</v>
      </c>
      <c r="C127" s="10">
        <v>45272</v>
      </c>
      <c r="D127" s="11">
        <v>8.4499999999999993</v>
      </c>
      <c r="E127" s="12">
        <v>3</v>
      </c>
      <c r="F127" s="12">
        <v>1.95</v>
      </c>
      <c r="G127" s="12">
        <v>0.55000000000000004</v>
      </c>
      <c r="H127" s="9" t="s">
        <v>23</v>
      </c>
      <c r="I127" s="9" t="s">
        <v>24</v>
      </c>
      <c r="J127" s="9" t="s">
        <v>25</v>
      </c>
      <c r="K127"/>
      <c r="U127"/>
      <c r="V127"/>
    </row>
    <row r="128" spans="1:22" ht="18" hidden="1">
      <c r="A128" s="9">
        <f>IF(Table1[[#This Row],[کد کوپ]]&lt;1,0,A127+1)</f>
        <v>127</v>
      </c>
      <c r="B128" s="9">
        <v>4404</v>
      </c>
      <c r="C128" s="10">
        <v>45272</v>
      </c>
      <c r="D128" s="11">
        <v>8</v>
      </c>
      <c r="E128" s="12">
        <v>3</v>
      </c>
      <c r="F128" s="12">
        <v>1.95</v>
      </c>
      <c r="G128" s="12">
        <v>0.5</v>
      </c>
      <c r="H128" s="9" t="s">
        <v>23</v>
      </c>
      <c r="I128" s="9" t="s">
        <v>24</v>
      </c>
      <c r="J128" s="9" t="s">
        <v>25</v>
      </c>
      <c r="K128"/>
      <c r="U128"/>
      <c r="V128"/>
    </row>
    <row r="129" spans="1:22" ht="18" hidden="1">
      <c r="A129" s="9">
        <f>IF(Table1[[#This Row],[کد کوپ]]&lt;1,0,A128+1)</f>
        <v>128</v>
      </c>
      <c r="B129" s="9">
        <v>4405</v>
      </c>
      <c r="C129" s="10">
        <v>45273</v>
      </c>
      <c r="D129" s="11">
        <v>7.9</v>
      </c>
      <c r="E129" s="12">
        <v>2.95</v>
      </c>
      <c r="F129" s="12">
        <v>1.93</v>
      </c>
      <c r="G129" s="12">
        <v>0.5</v>
      </c>
      <c r="H129" s="9" t="s">
        <v>23</v>
      </c>
      <c r="I129" s="9" t="s">
        <v>24</v>
      </c>
      <c r="J129" s="9" t="s">
        <v>25</v>
      </c>
      <c r="K129"/>
      <c r="U129"/>
      <c r="V129"/>
    </row>
    <row r="130" spans="1:22" ht="18" hidden="1">
      <c r="A130" s="9">
        <f>IF(Table1[[#This Row],[کد کوپ]]&lt;1,0,A129+1)</f>
        <v>129</v>
      </c>
      <c r="B130" s="9">
        <v>4406</v>
      </c>
      <c r="C130" s="10">
        <v>45273</v>
      </c>
      <c r="D130" s="11">
        <v>6.8</v>
      </c>
      <c r="E130" s="12">
        <v>2.5499999999999998</v>
      </c>
      <c r="F130" s="12">
        <v>1.85</v>
      </c>
      <c r="G130" s="12">
        <v>0.5</v>
      </c>
      <c r="H130" s="9" t="s">
        <v>23</v>
      </c>
      <c r="I130" s="9" t="s">
        <v>24</v>
      </c>
      <c r="J130" s="9" t="s">
        <v>25</v>
      </c>
      <c r="K130"/>
      <c r="U130"/>
      <c r="V130"/>
    </row>
    <row r="131" spans="1:22" ht="18" hidden="1">
      <c r="A131" s="9">
        <f>IF(Table1[[#This Row],[کد کوپ]]&lt;1,0,A130+1)</f>
        <v>130</v>
      </c>
      <c r="B131" s="9">
        <v>4407</v>
      </c>
      <c r="C131" s="10">
        <v>45276</v>
      </c>
      <c r="D131" s="11">
        <v>17.7</v>
      </c>
      <c r="E131" s="12">
        <v>2.25</v>
      </c>
      <c r="F131" s="12">
        <v>2</v>
      </c>
      <c r="G131" s="12">
        <v>1.5</v>
      </c>
      <c r="H131" s="9" t="s">
        <v>9</v>
      </c>
      <c r="I131" s="9" t="s">
        <v>10</v>
      </c>
      <c r="J131" s="9" t="s">
        <v>11</v>
      </c>
      <c r="K131"/>
      <c r="U131"/>
      <c r="V131"/>
    </row>
    <row r="132" spans="1:22" ht="18" hidden="1">
      <c r="A132" s="9">
        <f>IF(Table1[[#This Row],[کد کوپ]]&lt;1,0,A131+1)</f>
        <v>131</v>
      </c>
      <c r="B132" s="9">
        <v>4408</v>
      </c>
      <c r="C132" s="10">
        <v>45277</v>
      </c>
      <c r="D132" s="11">
        <v>25.64</v>
      </c>
      <c r="E132" s="12">
        <v>2.95</v>
      </c>
      <c r="F132" s="12">
        <v>1.8</v>
      </c>
      <c r="G132" s="12">
        <v>1.75</v>
      </c>
      <c r="H132" s="9" t="s">
        <v>9</v>
      </c>
      <c r="I132" s="9" t="s">
        <v>10</v>
      </c>
      <c r="J132" s="9" t="s">
        <v>11</v>
      </c>
      <c r="K132"/>
      <c r="U132"/>
      <c r="V132"/>
    </row>
    <row r="133" spans="1:22" ht="18" hidden="1">
      <c r="A133" s="9">
        <f>IF(Table1[[#This Row],[کد کوپ]]&lt;1,0,A132+1)</f>
        <v>132</v>
      </c>
      <c r="B133" s="9">
        <v>4409</v>
      </c>
      <c r="C133" s="10">
        <v>45279</v>
      </c>
      <c r="D133" s="11">
        <v>19.940000000000001</v>
      </c>
      <c r="E133" s="12">
        <v>3.25</v>
      </c>
      <c r="F133" s="12">
        <v>1.8</v>
      </c>
      <c r="G133" s="12">
        <v>1.4</v>
      </c>
      <c r="H133" s="9" t="s">
        <v>36</v>
      </c>
      <c r="I133" s="9" t="s">
        <v>37</v>
      </c>
      <c r="J133" s="9" t="s">
        <v>38</v>
      </c>
      <c r="K133"/>
      <c r="U133"/>
      <c r="V133"/>
    </row>
    <row r="134" spans="1:22" ht="18" hidden="1">
      <c r="A134" s="9">
        <f>IF(Table1[[#This Row],[کد کوپ]]&lt;1,0,A133+1)</f>
        <v>133</v>
      </c>
      <c r="B134" s="9">
        <v>4410</v>
      </c>
      <c r="C134" s="10">
        <v>45280</v>
      </c>
      <c r="D134" s="11">
        <v>9.25</v>
      </c>
      <c r="E134" s="12">
        <v>2.57</v>
      </c>
      <c r="F134" s="12">
        <v>1.8</v>
      </c>
      <c r="G134" s="12">
        <v>0.7</v>
      </c>
      <c r="H134" s="9" t="s">
        <v>23</v>
      </c>
      <c r="I134" s="9" t="s">
        <v>24</v>
      </c>
      <c r="J134" s="9" t="s">
        <v>39</v>
      </c>
      <c r="K134"/>
      <c r="U134"/>
      <c r="V134"/>
    </row>
    <row r="135" spans="1:22" ht="18" hidden="1">
      <c r="A135" s="9">
        <f>IF(Table1[[#This Row],[کد کوپ]]&lt;1,0,A134+1)</f>
        <v>134</v>
      </c>
      <c r="B135" s="9">
        <v>4411</v>
      </c>
      <c r="C135" s="10">
        <v>45280</v>
      </c>
      <c r="D135" s="11">
        <v>8.8000000000000007</v>
      </c>
      <c r="E135" s="12">
        <v>2.75</v>
      </c>
      <c r="F135" s="12">
        <v>1.8</v>
      </c>
      <c r="G135" s="12">
        <v>0.6</v>
      </c>
      <c r="H135" s="9" t="s">
        <v>23</v>
      </c>
      <c r="I135" s="9" t="s">
        <v>24</v>
      </c>
      <c r="J135" s="9" t="s">
        <v>39</v>
      </c>
      <c r="K135"/>
      <c r="U135"/>
      <c r="V135"/>
    </row>
    <row r="136" spans="1:22" ht="18" hidden="1">
      <c r="A136" s="9">
        <f>IF(Table1[[#This Row],[کد کوپ]]&lt;1,0,A135+1)</f>
        <v>135</v>
      </c>
      <c r="B136" s="9">
        <v>4412</v>
      </c>
      <c r="C136" s="10">
        <v>45280</v>
      </c>
      <c r="D136" s="11">
        <v>9.6999999999999993</v>
      </c>
      <c r="E136" s="12">
        <v>2.8</v>
      </c>
      <c r="F136" s="12">
        <v>1.8</v>
      </c>
      <c r="G136" s="12">
        <v>0.75</v>
      </c>
      <c r="H136" s="9" t="s">
        <v>23</v>
      </c>
      <c r="I136" s="9" t="s">
        <v>24</v>
      </c>
      <c r="J136" s="9" t="s">
        <v>39</v>
      </c>
      <c r="K136"/>
      <c r="U136"/>
      <c r="V136"/>
    </row>
    <row r="137" spans="1:22" ht="18" hidden="1">
      <c r="A137" s="9">
        <f>IF(Table1[[#This Row],[کد کوپ]]&lt;1,0,A136+1)</f>
        <v>136</v>
      </c>
      <c r="B137" s="9">
        <v>4413</v>
      </c>
      <c r="C137" s="10">
        <v>45280</v>
      </c>
      <c r="D137" s="11">
        <v>21.15</v>
      </c>
      <c r="E137" s="12">
        <v>2.7</v>
      </c>
      <c r="F137" s="12">
        <v>2</v>
      </c>
      <c r="G137" s="12">
        <v>1.7</v>
      </c>
      <c r="H137" s="9" t="s">
        <v>36</v>
      </c>
      <c r="I137" s="9" t="s">
        <v>34</v>
      </c>
      <c r="J137" s="9" t="s">
        <v>40</v>
      </c>
      <c r="K137"/>
      <c r="U137"/>
      <c r="V137"/>
    </row>
    <row r="138" spans="1:22" ht="18" hidden="1">
      <c r="A138" s="9">
        <f>IF(Table1[[#This Row],[کد کوپ]]&lt;1,0,A137+1)</f>
        <v>137</v>
      </c>
      <c r="B138" s="9">
        <v>4414</v>
      </c>
      <c r="C138" s="10">
        <v>45280</v>
      </c>
      <c r="D138" s="11">
        <v>25.3</v>
      </c>
      <c r="E138" s="12">
        <v>2.9</v>
      </c>
      <c r="F138" s="12">
        <v>1.8</v>
      </c>
      <c r="G138" s="12">
        <v>1.75</v>
      </c>
      <c r="H138" s="9" t="s">
        <v>9</v>
      </c>
      <c r="I138" s="9" t="s">
        <v>10</v>
      </c>
      <c r="J138" s="9" t="s">
        <v>11</v>
      </c>
      <c r="K138"/>
      <c r="U138"/>
      <c r="V138"/>
    </row>
    <row r="139" spans="1:22" ht="18" hidden="1">
      <c r="A139" s="9">
        <f>IF(Table1[[#This Row],[کد کوپ]]&lt;1,0,A138+1)</f>
        <v>138</v>
      </c>
      <c r="B139" s="9">
        <v>4415</v>
      </c>
      <c r="C139" s="10">
        <v>45283</v>
      </c>
      <c r="D139" s="11">
        <v>19.7</v>
      </c>
      <c r="E139" s="12">
        <v>2.95</v>
      </c>
      <c r="F139" s="12">
        <v>1.75</v>
      </c>
      <c r="G139" s="12">
        <v>1.35</v>
      </c>
      <c r="H139" s="9" t="s">
        <v>9</v>
      </c>
      <c r="I139" s="9" t="s">
        <v>10</v>
      </c>
      <c r="J139" s="9" t="s">
        <v>11</v>
      </c>
      <c r="K139"/>
      <c r="U139"/>
      <c r="V139"/>
    </row>
    <row r="140" spans="1:22" ht="18" hidden="1">
      <c r="A140" s="9">
        <f>IF(Table1[[#This Row],[کد کوپ]]&lt;1,0,A139+1)</f>
        <v>139</v>
      </c>
      <c r="B140" s="9">
        <v>4416</v>
      </c>
      <c r="C140" s="10">
        <v>45284</v>
      </c>
      <c r="D140" s="11">
        <v>23.42</v>
      </c>
      <c r="E140" s="12">
        <v>2.65</v>
      </c>
      <c r="F140" s="12">
        <v>1.87</v>
      </c>
      <c r="G140" s="12">
        <v>1.8</v>
      </c>
      <c r="H140" s="9" t="s">
        <v>9</v>
      </c>
      <c r="I140" s="9" t="s">
        <v>10</v>
      </c>
      <c r="J140" s="9" t="s">
        <v>11</v>
      </c>
      <c r="K140"/>
      <c r="U140"/>
      <c r="V140"/>
    </row>
    <row r="141" spans="1:22" ht="18" hidden="1">
      <c r="A141" s="9">
        <f>IF(Table1[[#This Row],[کد کوپ]]&lt;1,0,A140+1)</f>
        <v>140</v>
      </c>
      <c r="B141" s="9">
        <v>4417</v>
      </c>
      <c r="C141" s="10">
        <v>45287</v>
      </c>
      <c r="D141" s="11">
        <v>10.7</v>
      </c>
      <c r="E141" s="12">
        <v>2.83</v>
      </c>
      <c r="F141" s="12">
        <v>1.53</v>
      </c>
      <c r="G141" s="12">
        <v>0.9</v>
      </c>
      <c r="H141" s="9" t="s">
        <v>41</v>
      </c>
      <c r="I141" s="9" t="s">
        <v>10</v>
      </c>
      <c r="J141" s="9" t="s">
        <v>22</v>
      </c>
      <c r="K141"/>
      <c r="U141"/>
      <c r="V141"/>
    </row>
    <row r="142" spans="1:22" ht="18" hidden="1">
      <c r="A142" s="9">
        <f>IF(Table1[[#This Row],[کد کوپ]]&lt;1,0,A141+1)</f>
        <v>141</v>
      </c>
      <c r="B142" s="9">
        <v>4418</v>
      </c>
      <c r="C142" s="10">
        <v>45287</v>
      </c>
      <c r="D142" s="11">
        <v>13.4</v>
      </c>
      <c r="E142" s="12">
        <v>2.7</v>
      </c>
      <c r="F142" s="12">
        <v>1.95</v>
      </c>
      <c r="G142" s="12">
        <v>0.85</v>
      </c>
      <c r="H142" s="9" t="s">
        <v>41</v>
      </c>
      <c r="I142" s="9" t="s">
        <v>10</v>
      </c>
      <c r="J142" s="9" t="s">
        <v>22</v>
      </c>
      <c r="K142"/>
      <c r="U142"/>
      <c r="V142"/>
    </row>
    <row r="143" spans="1:22" ht="18" hidden="1">
      <c r="A143" s="9">
        <f>IF(Table1[[#This Row],[کد کوپ]]&lt;1,0,A142+1)</f>
        <v>142</v>
      </c>
      <c r="B143" s="9">
        <v>4419</v>
      </c>
      <c r="C143" s="10">
        <v>45288</v>
      </c>
      <c r="D143" s="11">
        <v>9.8000000000000007</v>
      </c>
      <c r="E143" s="12">
        <v>2.87</v>
      </c>
      <c r="F143" s="12">
        <v>1.6</v>
      </c>
      <c r="G143" s="12">
        <v>0.8</v>
      </c>
      <c r="H143" s="9" t="s">
        <v>23</v>
      </c>
      <c r="I143" s="9" t="s">
        <v>24</v>
      </c>
      <c r="J143" s="9" t="s">
        <v>25</v>
      </c>
      <c r="K143"/>
      <c r="U143"/>
      <c r="V143"/>
    </row>
    <row r="144" spans="1:22" ht="18" hidden="1">
      <c r="A144" s="9">
        <f>IF(Table1[[#This Row],[کد کوپ]]&lt;1,0,A143+1)</f>
        <v>143</v>
      </c>
      <c r="B144" s="9">
        <v>4420</v>
      </c>
      <c r="C144" s="10">
        <v>45288</v>
      </c>
      <c r="D144" s="11">
        <v>15.4</v>
      </c>
      <c r="E144" s="12">
        <v>2.97</v>
      </c>
      <c r="F144" s="12">
        <v>1.9</v>
      </c>
      <c r="G144" s="12">
        <v>1</v>
      </c>
      <c r="H144" s="9" t="s">
        <v>23</v>
      </c>
      <c r="I144" s="9" t="s">
        <v>24</v>
      </c>
      <c r="J144" s="9" t="s">
        <v>29</v>
      </c>
      <c r="K144"/>
      <c r="U144"/>
      <c r="V144"/>
    </row>
    <row r="145" spans="1:22" ht="18" hidden="1">
      <c r="A145" s="9">
        <f>IF(Table1[[#This Row],[کد کوپ]]&lt;1,0,A144+1)</f>
        <v>144</v>
      </c>
      <c r="B145" s="9">
        <v>4421</v>
      </c>
      <c r="C145" s="10">
        <v>45289</v>
      </c>
      <c r="D145" s="11">
        <v>21.2</v>
      </c>
      <c r="E145" s="12">
        <v>2.4300000000000002</v>
      </c>
      <c r="F145" s="12">
        <v>1.9</v>
      </c>
      <c r="G145" s="12">
        <v>1.7</v>
      </c>
      <c r="H145" s="9" t="s">
        <v>9</v>
      </c>
      <c r="I145" s="9" t="s">
        <v>10</v>
      </c>
      <c r="J145" s="9" t="s">
        <v>11</v>
      </c>
      <c r="K145"/>
      <c r="U145"/>
      <c r="V145"/>
    </row>
    <row r="146" spans="1:22" ht="18" hidden="1">
      <c r="A146" s="9">
        <f>IF(Table1[[#This Row],[کد کوپ]]&lt;1,0,A145+1)</f>
        <v>145</v>
      </c>
      <c r="B146" s="9">
        <v>4422</v>
      </c>
      <c r="C146" s="10">
        <v>45290</v>
      </c>
      <c r="D146" s="11">
        <v>6.2</v>
      </c>
      <c r="E146" s="12">
        <v>1.95</v>
      </c>
      <c r="F146" s="12">
        <v>1.55</v>
      </c>
      <c r="G146" s="12">
        <v>0.75</v>
      </c>
      <c r="H146" s="9" t="s">
        <v>23</v>
      </c>
      <c r="I146" s="9" t="s">
        <v>24</v>
      </c>
      <c r="J146" s="9" t="s">
        <v>25</v>
      </c>
      <c r="K146"/>
      <c r="U146"/>
      <c r="V146"/>
    </row>
    <row r="147" spans="1:22" ht="18" hidden="1">
      <c r="A147" s="9">
        <f>IF(Table1[[#This Row],[کد کوپ]]&lt;1,0,A146+1)</f>
        <v>146</v>
      </c>
      <c r="B147" s="9">
        <v>4423</v>
      </c>
      <c r="C147" s="10">
        <v>45290</v>
      </c>
      <c r="D147" s="11">
        <v>15.6</v>
      </c>
      <c r="E147" s="12">
        <v>2.75</v>
      </c>
      <c r="F147" s="12">
        <v>1.75</v>
      </c>
      <c r="G147" s="12">
        <v>1.1499999999999999</v>
      </c>
      <c r="H147" s="9" t="s">
        <v>23</v>
      </c>
      <c r="I147" s="9" t="s">
        <v>24</v>
      </c>
      <c r="J147" s="9" t="s">
        <v>25</v>
      </c>
      <c r="K147"/>
      <c r="U147"/>
      <c r="V147"/>
    </row>
    <row r="148" spans="1:22" ht="18" hidden="1">
      <c r="A148" s="9">
        <f>IF(Table1[[#This Row],[کد کوپ]]&lt;1,0,A147+1)</f>
        <v>147</v>
      </c>
      <c r="B148" s="9">
        <v>4424</v>
      </c>
      <c r="C148" s="10">
        <v>45290</v>
      </c>
      <c r="D148" s="11">
        <v>5.4</v>
      </c>
      <c r="E148" s="12">
        <v>1.85</v>
      </c>
      <c r="F148" s="12">
        <v>1.55</v>
      </c>
      <c r="G148" s="12">
        <v>0.65</v>
      </c>
      <c r="H148" s="9" t="s">
        <v>23</v>
      </c>
      <c r="I148" s="9" t="s">
        <v>24</v>
      </c>
      <c r="J148" s="9" t="s">
        <v>39</v>
      </c>
      <c r="K148"/>
      <c r="U148"/>
      <c r="V148"/>
    </row>
    <row r="149" spans="1:22" ht="18" hidden="1">
      <c r="A149" s="9">
        <f>IF(Table1[[#This Row],[کد کوپ]]&lt;1,0,A148+1)</f>
        <v>148</v>
      </c>
      <c r="B149" s="9">
        <v>4425</v>
      </c>
      <c r="C149" s="10">
        <v>45291</v>
      </c>
      <c r="D149" s="11">
        <v>16.5</v>
      </c>
      <c r="E149" s="12">
        <v>3.5</v>
      </c>
      <c r="F149" s="12">
        <v>1.9</v>
      </c>
      <c r="G149" s="12">
        <v>0.9</v>
      </c>
      <c r="H149" s="9" t="s">
        <v>23</v>
      </c>
      <c r="I149" s="9" t="s">
        <v>24</v>
      </c>
      <c r="J149" s="9" t="s">
        <v>25</v>
      </c>
      <c r="K149"/>
      <c r="U149"/>
      <c r="V149"/>
    </row>
    <row r="150" spans="1:22" ht="18" hidden="1">
      <c r="A150" s="9">
        <f>IF(Table1[[#This Row],[کد کوپ]]&lt;1,0,A149+1)</f>
        <v>149</v>
      </c>
      <c r="B150" s="9">
        <v>4426</v>
      </c>
      <c r="C150" s="10">
        <v>45291</v>
      </c>
      <c r="D150" s="11">
        <v>11.8</v>
      </c>
      <c r="E150" s="12">
        <v>3</v>
      </c>
      <c r="F150" s="12">
        <v>1.85</v>
      </c>
      <c r="G150" s="12">
        <v>0.65</v>
      </c>
      <c r="H150" s="9" t="s">
        <v>23</v>
      </c>
      <c r="I150" s="9" t="s">
        <v>24</v>
      </c>
      <c r="J150" s="9" t="s">
        <v>42</v>
      </c>
      <c r="K150"/>
      <c r="U150"/>
      <c r="V150"/>
    </row>
    <row r="151" spans="1:22" ht="18" hidden="1">
      <c r="A151" s="9">
        <f>IF(Table1[[#This Row],[کد کوپ]]&lt;1,0,A150+1)</f>
        <v>150</v>
      </c>
      <c r="B151" s="9">
        <v>4427</v>
      </c>
      <c r="C151" s="10">
        <v>45293</v>
      </c>
      <c r="D151" s="11">
        <v>15.6</v>
      </c>
      <c r="E151" s="12">
        <v>2.6</v>
      </c>
      <c r="F151" s="12">
        <v>1.6</v>
      </c>
      <c r="G151" s="12">
        <v>1.37</v>
      </c>
      <c r="H151" s="9" t="s">
        <v>9</v>
      </c>
      <c r="I151" s="9" t="s">
        <v>10</v>
      </c>
      <c r="J151" s="9" t="s">
        <v>11</v>
      </c>
      <c r="K151"/>
      <c r="U151"/>
      <c r="V151"/>
    </row>
    <row r="152" spans="1:22" ht="18" hidden="1">
      <c r="A152" s="9">
        <f>IF(Table1[[#This Row],[کد کوپ]]&lt;1,0,A151+1)</f>
        <v>151</v>
      </c>
      <c r="B152" s="9">
        <v>4428</v>
      </c>
      <c r="C152" s="10">
        <v>45293</v>
      </c>
      <c r="D152" s="11">
        <v>10.46</v>
      </c>
      <c r="E152" s="12">
        <v>2.95</v>
      </c>
      <c r="F152" s="12">
        <v>1.18</v>
      </c>
      <c r="G152" s="12">
        <v>1.1000000000000001</v>
      </c>
      <c r="H152" s="9" t="s">
        <v>9</v>
      </c>
      <c r="I152" s="9" t="s">
        <v>10</v>
      </c>
      <c r="J152" s="9" t="s">
        <v>11</v>
      </c>
      <c r="K152"/>
      <c r="U152"/>
      <c r="V152"/>
    </row>
    <row r="153" spans="1:22" ht="18" hidden="1">
      <c r="A153" s="9">
        <f>IF(Table1[[#This Row],[کد کوپ]]&lt;1,0,A152+1)</f>
        <v>152</v>
      </c>
      <c r="B153" s="9">
        <v>4429</v>
      </c>
      <c r="C153" s="10">
        <v>45294</v>
      </c>
      <c r="D153" s="11">
        <v>14.9</v>
      </c>
      <c r="E153" s="12">
        <v>1.95</v>
      </c>
      <c r="F153" s="12">
        <v>1.8</v>
      </c>
      <c r="G153" s="12">
        <v>1.7</v>
      </c>
      <c r="H153" s="9" t="s">
        <v>23</v>
      </c>
      <c r="I153" s="9" t="s">
        <v>24</v>
      </c>
      <c r="J153" s="9" t="s">
        <v>25</v>
      </c>
      <c r="K153"/>
      <c r="U153"/>
      <c r="V153"/>
    </row>
    <row r="154" spans="1:22" ht="18" hidden="1">
      <c r="A154" s="9">
        <f>IF(Table1[[#This Row],[کد کوپ]]&lt;1,0,A153+1)</f>
        <v>153</v>
      </c>
      <c r="B154" s="9">
        <v>4430</v>
      </c>
      <c r="C154" s="10">
        <v>45294</v>
      </c>
      <c r="D154" s="11">
        <v>13</v>
      </c>
      <c r="E154" s="12">
        <v>2.9</v>
      </c>
      <c r="F154" s="12">
        <v>1.65</v>
      </c>
      <c r="G154" s="12">
        <v>1.05</v>
      </c>
      <c r="H154" s="9" t="s">
        <v>23</v>
      </c>
      <c r="I154" s="9" t="s">
        <v>24</v>
      </c>
      <c r="J154" s="9" t="s">
        <v>25</v>
      </c>
      <c r="K154"/>
      <c r="U154"/>
      <c r="V154"/>
    </row>
    <row r="155" spans="1:22" ht="18" hidden="1">
      <c r="A155" s="9">
        <f>IF(Table1[[#This Row],[کد کوپ]]&lt;1,0,A154+1)</f>
        <v>154</v>
      </c>
      <c r="B155" s="9">
        <v>4431</v>
      </c>
      <c r="C155" s="10">
        <v>45298</v>
      </c>
      <c r="D155" s="11">
        <v>11.8</v>
      </c>
      <c r="E155" s="12">
        <v>2.9</v>
      </c>
      <c r="F155" s="12">
        <v>1.95</v>
      </c>
      <c r="G155" s="12">
        <v>0.7</v>
      </c>
      <c r="H155" s="9" t="s">
        <v>23</v>
      </c>
      <c r="I155" s="9" t="s">
        <v>24</v>
      </c>
      <c r="J155" s="9" t="s">
        <v>29</v>
      </c>
      <c r="K155"/>
      <c r="U155"/>
      <c r="V155"/>
    </row>
    <row r="156" spans="1:22" ht="18" hidden="1">
      <c r="A156" s="9">
        <f>IF(Table1[[#This Row],[کد کوپ]]&lt;1,0,A155+1)</f>
        <v>155</v>
      </c>
      <c r="B156" s="9">
        <v>4432</v>
      </c>
      <c r="C156" s="10">
        <v>45299</v>
      </c>
      <c r="D156" s="11">
        <v>2.2999999999999998</v>
      </c>
      <c r="E156" s="12">
        <v>2.25</v>
      </c>
      <c r="F156" s="12">
        <v>1.5</v>
      </c>
      <c r="G156" s="12">
        <v>0.2</v>
      </c>
      <c r="H156" s="9" t="s">
        <v>23</v>
      </c>
      <c r="I156" s="9" t="s">
        <v>24</v>
      </c>
      <c r="J156" s="9" t="s">
        <v>25</v>
      </c>
      <c r="K156"/>
      <c r="U156"/>
      <c r="V156"/>
    </row>
    <row r="157" spans="1:22" ht="18" hidden="1">
      <c r="A157" s="9">
        <f>IF(Table1[[#This Row],[کد کوپ]]&lt;1,0,A156+1)</f>
        <v>156</v>
      </c>
      <c r="B157" s="9">
        <v>4433</v>
      </c>
      <c r="C157" s="10">
        <v>45299</v>
      </c>
      <c r="D157" s="11">
        <v>6.2</v>
      </c>
      <c r="E157" s="12">
        <v>2.4</v>
      </c>
      <c r="F157" s="12">
        <v>1.25</v>
      </c>
      <c r="G157" s="12">
        <v>0.7</v>
      </c>
      <c r="H157" s="9" t="s">
        <v>23</v>
      </c>
      <c r="I157" s="9" t="s">
        <v>24</v>
      </c>
      <c r="J157" s="9" t="s">
        <v>25</v>
      </c>
      <c r="K157"/>
      <c r="U157"/>
      <c r="V157"/>
    </row>
    <row r="158" spans="1:22" ht="18" hidden="1">
      <c r="A158" s="9">
        <f>IF(Table1[[#This Row],[کد کوپ]]&lt;1,0,A157+1)</f>
        <v>157</v>
      </c>
      <c r="B158" s="9">
        <v>4434</v>
      </c>
      <c r="C158" s="10">
        <v>45299</v>
      </c>
      <c r="D158" s="11">
        <v>18.7</v>
      </c>
      <c r="E158" s="12">
        <v>3.1</v>
      </c>
      <c r="F158" s="12">
        <v>1.6</v>
      </c>
      <c r="G158" s="12">
        <v>1.4</v>
      </c>
      <c r="H158" s="9" t="s">
        <v>23</v>
      </c>
      <c r="I158" s="9" t="s">
        <v>24</v>
      </c>
      <c r="J158" s="9" t="s">
        <v>25</v>
      </c>
      <c r="K158"/>
      <c r="U158"/>
      <c r="V158"/>
    </row>
    <row r="159" spans="1:22" ht="18" hidden="1">
      <c r="A159" s="9">
        <f>IF(Table1[[#This Row],[کد کوپ]]&lt;1,0,A158+1)</f>
        <v>158</v>
      </c>
      <c r="B159" s="9">
        <v>4435</v>
      </c>
      <c r="C159" s="10">
        <v>45299</v>
      </c>
      <c r="D159" s="11">
        <v>20.3</v>
      </c>
      <c r="E159" s="12">
        <v>2.4500000000000002</v>
      </c>
      <c r="F159" s="12">
        <v>1.75</v>
      </c>
      <c r="G159" s="12">
        <v>1.7</v>
      </c>
      <c r="H159" s="9" t="s">
        <v>9</v>
      </c>
      <c r="I159" s="9" t="s">
        <v>10</v>
      </c>
      <c r="J159" s="9" t="s">
        <v>11</v>
      </c>
      <c r="K159"/>
      <c r="U159"/>
      <c r="V159"/>
    </row>
    <row r="160" spans="1:22" ht="18" hidden="1">
      <c r="A160" s="9">
        <f>IF(Table1[[#This Row],[کد کوپ]]&lt;1,0,A159+1)</f>
        <v>159</v>
      </c>
      <c r="B160" s="9">
        <v>4436</v>
      </c>
      <c r="C160" s="10">
        <v>45302</v>
      </c>
      <c r="D160" s="11">
        <v>8.5</v>
      </c>
      <c r="E160" s="12">
        <v>3.1</v>
      </c>
      <c r="F160" s="12">
        <v>1.65</v>
      </c>
      <c r="G160" s="12">
        <v>0.65</v>
      </c>
      <c r="H160" s="9" t="s">
        <v>23</v>
      </c>
      <c r="I160" s="9" t="s">
        <v>24</v>
      </c>
      <c r="J160" s="9" t="s">
        <v>25</v>
      </c>
      <c r="K160"/>
      <c r="U160"/>
      <c r="V160"/>
    </row>
    <row r="161" spans="1:22" ht="18" hidden="1">
      <c r="A161" s="9">
        <f>IF(Table1[[#This Row],[کد کوپ]]&lt;1,0,A160+1)</f>
        <v>160</v>
      </c>
      <c r="B161" s="9">
        <v>4437</v>
      </c>
      <c r="C161" s="10">
        <v>45303</v>
      </c>
      <c r="D161" s="11">
        <v>12.5</v>
      </c>
      <c r="E161" s="12">
        <v>2.9</v>
      </c>
      <c r="F161" s="12">
        <v>1.65</v>
      </c>
      <c r="G161" s="12">
        <v>1</v>
      </c>
      <c r="H161" s="9" t="s">
        <v>23</v>
      </c>
      <c r="I161" s="9" t="s">
        <v>24</v>
      </c>
      <c r="J161" s="9" t="s">
        <v>25</v>
      </c>
      <c r="K161"/>
      <c r="U161"/>
      <c r="V161"/>
    </row>
    <row r="162" spans="1:22" ht="18" hidden="1">
      <c r="A162" s="9">
        <f>IF(Table1[[#This Row],[کد کوپ]]&lt;1,0,A161+1)</f>
        <v>161</v>
      </c>
      <c r="B162" s="9">
        <v>4438</v>
      </c>
      <c r="C162" s="10">
        <v>45304</v>
      </c>
      <c r="D162" s="11">
        <v>12.76</v>
      </c>
      <c r="E162" s="12">
        <v>3.08</v>
      </c>
      <c r="F162" s="12">
        <v>2</v>
      </c>
      <c r="G162" s="12">
        <v>0.8</v>
      </c>
      <c r="H162" s="9" t="s">
        <v>23</v>
      </c>
      <c r="I162" s="9" t="s">
        <v>24</v>
      </c>
      <c r="J162" s="9" t="s">
        <v>25</v>
      </c>
      <c r="K162"/>
      <c r="U162"/>
      <c r="V162"/>
    </row>
    <row r="163" spans="1:22" ht="18" hidden="1">
      <c r="A163" s="9">
        <f>IF(Table1[[#This Row],[کد کوپ]]&lt;1,0,A162+1)</f>
        <v>162</v>
      </c>
      <c r="B163" s="9">
        <v>4439</v>
      </c>
      <c r="C163" s="10">
        <v>45305</v>
      </c>
      <c r="D163" s="11">
        <v>8.9</v>
      </c>
      <c r="E163" s="12">
        <v>2.9</v>
      </c>
      <c r="F163" s="12">
        <v>1.9</v>
      </c>
      <c r="G163" s="12">
        <v>0.5</v>
      </c>
      <c r="H163" s="9" t="s">
        <v>23</v>
      </c>
      <c r="I163" s="9" t="s">
        <v>24</v>
      </c>
      <c r="J163" s="9" t="s">
        <v>25</v>
      </c>
      <c r="K163"/>
      <c r="U163"/>
      <c r="V163"/>
    </row>
    <row r="164" spans="1:22" ht="18" hidden="1">
      <c r="A164" s="9">
        <f>IF(Table1[[#This Row],[کد کوپ]]&lt;1,0,A163+1)</f>
        <v>163</v>
      </c>
      <c r="B164" s="9">
        <v>4440</v>
      </c>
      <c r="C164" s="10">
        <v>45306</v>
      </c>
      <c r="D164" s="11">
        <v>8.1999999999999993</v>
      </c>
      <c r="E164" s="12">
        <v>3.2</v>
      </c>
      <c r="F164" s="12">
        <v>1.55</v>
      </c>
      <c r="G164" s="12">
        <v>0.65</v>
      </c>
      <c r="H164" s="9" t="s">
        <v>43</v>
      </c>
      <c r="I164" s="9" t="s">
        <v>10</v>
      </c>
      <c r="J164" s="9" t="s">
        <v>22</v>
      </c>
      <c r="K164"/>
      <c r="U164"/>
      <c r="V164"/>
    </row>
    <row r="165" spans="1:22" ht="18" hidden="1">
      <c r="A165" s="9">
        <f>IF(Table1[[#This Row],[کد کوپ]]&lt;1,0,A164+1)</f>
        <v>164</v>
      </c>
      <c r="B165" s="9">
        <v>4441</v>
      </c>
      <c r="C165" s="10">
        <v>45313</v>
      </c>
      <c r="D165" s="11">
        <v>9</v>
      </c>
      <c r="E165" s="12">
        <v>2.65</v>
      </c>
      <c r="F165" s="12">
        <v>1.6</v>
      </c>
      <c r="G165" s="12">
        <v>0.75</v>
      </c>
      <c r="H165" s="9" t="s">
        <v>23</v>
      </c>
      <c r="I165" s="9" t="s">
        <v>24</v>
      </c>
      <c r="J165" s="9" t="s">
        <v>25</v>
      </c>
      <c r="K165"/>
      <c r="U165"/>
      <c r="V165"/>
    </row>
    <row r="166" spans="1:22" ht="18" hidden="1">
      <c r="A166" s="9">
        <f>IF(Table1[[#This Row],[کد کوپ]]&lt;1,0,A165+1)</f>
        <v>165</v>
      </c>
      <c r="B166" s="9">
        <v>4442</v>
      </c>
      <c r="C166" s="10">
        <v>45313</v>
      </c>
      <c r="D166" s="11">
        <v>9.1999999999999993</v>
      </c>
      <c r="E166" s="12">
        <v>3.05</v>
      </c>
      <c r="F166" s="12">
        <v>2.15</v>
      </c>
      <c r="G166" s="12">
        <v>0.55000000000000004</v>
      </c>
      <c r="H166" s="9" t="s">
        <v>23</v>
      </c>
      <c r="I166" s="9" t="s">
        <v>24</v>
      </c>
      <c r="J166" s="9" t="s">
        <v>25</v>
      </c>
      <c r="K166"/>
      <c r="U166"/>
      <c r="V166"/>
    </row>
    <row r="167" spans="1:22" ht="18" hidden="1">
      <c r="A167" s="9">
        <f>IF(Table1[[#This Row],[کد کوپ]]&lt;1,0,A166+1)</f>
        <v>166</v>
      </c>
      <c r="B167" s="9">
        <v>4443</v>
      </c>
      <c r="C167" s="10">
        <v>45313</v>
      </c>
      <c r="D167" s="11">
        <v>8.1999999999999993</v>
      </c>
      <c r="E167" s="12">
        <v>2.35</v>
      </c>
      <c r="F167" s="12">
        <v>1.35</v>
      </c>
      <c r="G167" s="12">
        <v>0.85</v>
      </c>
      <c r="H167" s="9" t="s">
        <v>23</v>
      </c>
      <c r="I167" s="9" t="s">
        <v>24</v>
      </c>
      <c r="J167" s="9" t="s">
        <v>25</v>
      </c>
      <c r="K167"/>
      <c r="U167"/>
      <c r="V167"/>
    </row>
    <row r="168" spans="1:22" ht="18" hidden="1">
      <c r="A168" s="9">
        <f>IF(Table1[[#This Row],[کد کوپ]]&lt;1,0,A167+1)</f>
        <v>167</v>
      </c>
      <c r="B168" s="9">
        <v>4444</v>
      </c>
      <c r="C168" s="10">
        <v>45313</v>
      </c>
      <c r="D168" s="11">
        <v>26.6</v>
      </c>
      <c r="E168" s="12">
        <v>3.17</v>
      </c>
      <c r="F168" s="12">
        <v>1.8</v>
      </c>
      <c r="G168" s="12">
        <v>1.75</v>
      </c>
      <c r="H168" s="9" t="s">
        <v>44</v>
      </c>
      <c r="I168" s="9" t="s">
        <v>10</v>
      </c>
      <c r="J168" s="9" t="s">
        <v>45</v>
      </c>
      <c r="K168"/>
      <c r="U168"/>
      <c r="V168"/>
    </row>
    <row r="169" spans="1:22" ht="18" hidden="1">
      <c r="A169" s="9">
        <f>IF(Table1[[#This Row],[کد کوپ]]&lt;1,0,A168+1)</f>
        <v>168</v>
      </c>
      <c r="B169" s="9">
        <v>4445</v>
      </c>
      <c r="C169" s="10">
        <v>45313</v>
      </c>
      <c r="D169" s="11">
        <v>11.5</v>
      </c>
      <c r="E169" s="12">
        <v>3</v>
      </c>
      <c r="F169" s="12">
        <v>2.25</v>
      </c>
      <c r="G169" s="12">
        <v>0.5</v>
      </c>
      <c r="H169" s="9" t="s">
        <v>23</v>
      </c>
      <c r="I169" s="9" t="s">
        <v>24</v>
      </c>
      <c r="J169" s="9" t="s">
        <v>25</v>
      </c>
      <c r="K169"/>
      <c r="U169"/>
      <c r="V169"/>
    </row>
    <row r="170" spans="1:22" ht="18" hidden="1">
      <c r="A170" s="9">
        <f>IF(Table1[[#This Row],[کد کوپ]]&lt;1,0,A169+1)</f>
        <v>169</v>
      </c>
      <c r="B170" s="9">
        <v>4446</v>
      </c>
      <c r="C170" s="10">
        <v>45313</v>
      </c>
      <c r="D170" s="11">
        <v>12.3</v>
      </c>
      <c r="E170" s="12">
        <v>3.17</v>
      </c>
      <c r="F170" s="12">
        <v>2.27</v>
      </c>
      <c r="G170" s="12">
        <v>0.55000000000000004</v>
      </c>
      <c r="H170" s="9" t="s">
        <v>23</v>
      </c>
      <c r="I170" s="9" t="s">
        <v>24</v>
      </c>
      <c r="J170" s="9" t="s">
        <v>25</v>
      </c>
      <c r="K170"/>
      <c r="U170"/>
      <c r="V170"/>
    </row>
    <row r="171" spans="1:22" ht="18" hidden="1">
      <c r="A171" s="9">
        <f>IF(Table1[[#This Row],[کد کوپ]]&lt;1,0,A170+1)</f>
        <v>170</v>
      </c>
      <c r="B171" s="9">
        <v>4447</v>
      </c>
      <c r="C171" s="10">
        <v>45314</v>
      </c>
      <c r="D171" s="11">
        <v>24.35</v>
      </c>
      <c r="E171" s="12">
        <v>2.66</v>
      </c>
      <c r="F171" s="12">
        <v>1.95</v>
      </c>
      <c r="G171" s="12">
        <v>1.77</v>
      </c>
      <c r="H171" s="9" t="s">
        <v>9</v>
      </c>
      <c r="I171" s="9" t="s">
        <v>10</v>
      </c>
      <c r="J171" s="9" t="s">
        <v>11</v>
      </c>
      <c r="K171"/>
      <c r="U171"/>
      <c r="V171"/>
    </row>
    <row r="172" spans="1:22" ht="18" hidden="1">
      <c r="A172" s="9">
        <f>IF(Table1[[#This Row],[کد کوپ]]&lt;1,0,A171+1)</f>
        <v>171</v>
      </c>
      <c r="B172" s="9">
        <v>4448</v>
      </c>
      <c r="C172" s="10">
        <v>45314</v>
      </c>
      <c r="D172" s="11">
        <v>11.25</v>
      </c>
      <c r="E172" s="12">
        <v>2.0499999999999998</v>
      </c>
      <c r="F172" s="12">
        <v>1.9</v>
      </c>
      <c r="G172" s="12">
        <v>1</v>
      </c>
      <c r="H172" s="9" t="s">
        <v>9</v>
      </c>
      <c r="I172" s="9" t="s">
        <v>10</v>
      </c>
      <c r="J172" s="9" t="s">
        <v>11</v>
      </c>
      <c r="K172"/>
      <c r="U172"/>
      <c r="V172"/>
    </row>
    <row r="173" spans="1:22" ht="18" hidden="1">
      <c r="A173" s="9">
        <f>IF(Table1[[#This Row],[کد کوپ]]&lt;1,0,A172+1)</f>
        <v>172</v>
      </c>
      <c r="B173" s="9">
        <v>4449</v>
      </c>
      <c r="C173" s="10">
        <v>45314</v>
      </c>
      <c r="D173" s="11">
        <v>15</v>
      </c>
      <c r="E173" s="12">
        <v>1.65</v>
      </c>
      <c r="F173" s="12">
        <v>1.95</v>
      </c>
      <c r="G173" s="12">
        <v>1.05</v>
      </c>
      <c r="H173" s="9" t="s">
        <v>9</v>
      </c>
      <c r="I173" s="9" t="s">
        <v>10</v>
      </c>
      <c r="J173" s="9" t="s">
        <v>11</v>
      </c>
      <c r="K173"/>
      <c r="U173"/>
      <c r="V173"/>
    </row>
    <row r="174" spans="1:22" ht="18" hidden="1">
      <c r="A174" s="9">
        <f>IF(Table1[[#This Row],[کد کوپ]]&lt;1,0,A173+1)</f>
        <v>173</v>
      </c>
      <c r="B174" s="9">
        <v>4450</v>
      </c>
      <c r="C174" s="10">
        <v>45319</v>
      </c>
      <c r="D174" s="11">
        <v>9.3000000000000007</v>
      </c>
      <c r="E174" s="12">
        <v>2.2999999999999998</v>
      </c>
      <c r="F174" s="12">
        <v>2.0499999999999998</v>
      </c>
      <c r="G174" s="12">
        <v>0.7</v>
      </c>
      <c r="H174" s="9" t="s">
        <v>23</v>
      </c>
      <c r="I174" s="9" t="s">
        <v>24</v>
      </c>
      <c r="J174" s="9" t="s">
        <v>29</v>
      </c>
      <c r="K174"/>
      <c r="U174"/>
      <c r="V174"/>
    </row>
    <row r="175" spans="1:22" ht="18" hidden="1">
      <c r="A175" s="9">
        <f>IF(Table1[[#This Row],[کد کوپ]]&lt;1,0,A174+1)</f>
        <v>174</v>
      </c>
      <c r="B175" s="9">
        <v>4451</v>
      </c>
      <c r="C175" s="10">
        <v>45320</v>
      </c>
      <c r="D175" s="11">
        <v>19</v>
      </c>
      <c r="E175" s="12">
        <v>2.75</v>
      </c>
      <c r="F175" s="12">
        <v>1.8</v>
      </c>
      <c r="G175" s="12">
        <v>1.3</v>
      </c>
      <c r="H175" s="9" t="s">
        <v>36</v>
      </c>
      <c r="I175" s="9" t="s">
        <v>10</v>
      </c>
      <c r="J175" s="9" t="s">
        <v>46</v>
      </c>
      <c r="K175"/>
      <c r="U175"/>
      <c r="V175"/>
    </row>
    <row r="176" spans="1:22" ht="18" hidden="1">
      <c r="A176" s="9">
        <f>IF(Table1[[#This Row],[کد کوپ]]&lt;1,0,A175+1)</f>
        <v>175</v>
      </c>
      <c r="B176" s="9">
        <v>4452</v>
      </c>
      <c r="C176" s="10">
        <v>45320</v>
      </c>
      <c r="D176" s="11">
        <v>18.2</v>
      </c>
      <c r="E176" s="12">
        <v>2.7</v>
      </c>
      <c r="F176" s="12">
        <v>1.78</v>
      </c>
      <c r="G176" s="12">
        <v>1.4</v>
      </c>
      <c r="H176" s="9" t="s">
        <v>36</v>
      </c>
      <c r="I176" s="9" t="s">
        <v>10</v>
      </c>
      <c r="J176" s="9" t="s">
        <v>46</v>
      </c>
      <c r="K176"/>
      <c r="U176"/>
      <c r="V176"/>
    </row>
    <row r="177" spans="1:22" ht="18" hidden="1">
      <c r="A177" s="9">
        <f>IF(Table1[[#This Row],[کد کوپ]]&lt;1,0,A176+1)</f>
        <v>176</v>
      </c>
      <c r="B177" s="9">
        <v>4453</v>
      </c>
      <c r="C177" s="10">
        <v>45321</v>
      </c>
      <c r="D177" s="11">
        <v>25</v>
      </c>
      <c r="E177" s="12">
        <v>2.85</v>
      </c>
      <c r="F177" s="12">
        <v>1.85</v>
      </c>
      <c r="G177" s="12">
        <v>1.7</v>
      </c>
      <c r="H177" s="9" t="s">
        <v>9</v>
      </c>
      <c r="I177" s="9" t="s">
        <v>10</v>
      </c>
      <c r="J177" s="9" t="s">
        <v>11</v>
      </c>
      <c r="K177"/>
      <c r="U177"/>
      <c r="V177"/>
    </row>
    <row r="178" spans="1:22" ht="18" hidden="1">
      <c r="A178" s="9">
        <f>IF(Table1[[#This Row],[کد کوپ]]&lt;1,0,A177+1)</f>
        <v>177</v>
      </c>
      <c r="B178" s="9">
        <v>4454</v>
      </c>
      <c r="C178" s="10">
        <v>45326</v>
      </c>
      <c r="D178" s="11">
        <v>24</v>
      </c>
      <c r="E178" s="12">
        <v>3.25</v>
      </c>
      <c r="F178" s="12">
        <v>2.0499999999999998</v>
      </c>
      <c r="G178" s="12">
        <v>1.45</v>
      </c>
      <c r="H178" s="9" t="s">
        <v>47</v>
      </c>
      <c r="I178" s="9" t="s">
        <v>10</v>
      </c>
      <c r="J178" s="9" t="s">
        <v>48</v>
      </c>
      <c r="K178"/>
      <c r="U178"/>
      <c r="V178"/>
    </row>
    <row r="179" spans="1:22" ht="18" hidden="1">
      <c r="A179" s="9">
        <f>IF(Table1[[#This Row],[کد کوپ]]&lt;1,0,A178+1)</f>
        <v>178</v>
      </c>
      <c r="B179" s="9">
        <v>4455</v>
      </c>
      <c r="C179" s="10">
        <v>45326</v>
      </c>
      <c r="D179" s="11">
        <v>13.58</v>
      </c>
      <c r="E179" s="12">
        <v>2.93</v>
      </c>
      <c r="F179" s="12">
        <v>2.04</v>
      </c>
      <c r="G179" s="12">
        <v>0.9</v>
      </c>
      <c r="H179" s="9" t="s">
        <v>9</v>
      </c>
      <c r="I179" s="9" t="s">
        <v>10</v>
      </c>
      <c r="J179" s="9" t="s">
        <v>11</v>
      </c>
      <c r="K179"/>
      <c r="U179"/>
      <c r="V179"/>
    </row>
    <row r="180" spans="1:22" ht="18" hidden="1">
      <c r="A180" s="9">
        <f>IF(Table1[[#This Row],[کد کوپ]]&lt;1,0,A179+1)</f>
        <v>179</v>
      </c>
      <c r="B180" s="9">
        <v>4456</v>
      </c>
      <c r="C180" s="10">
        <v>45326</v>
      </c>
      <c r="D180" s="11">
        <v>12.5</v>
      </c>
      <c r="E180" s="12">
        <v>2.98</v>
      </c>
      <c r="F180" s="12">
        <v>1.25</v>
      </c>
      <c r="G180" s="12">
        <v>1.25</v>
      </c>
      <c r="H180" s="9" t="s">
        <v>9</v>
      </c>
      <c r="I180" s="9" t="s">
        <v>10</v>
      </c>
      <c r="J180" s="9" t="s">
        <v>11</v>
      </c>
      <c r="K180"/>
      <c r="U180"/>
      <c r="V180"/>
    </row>
    <row r="181" spans="1:22" ht="18" hidden="1">
      <c r="A181" s="9">
        <f>IF(Table1[[#This Row],[کد کوپ]]&lt;1,0,A180+1)</f>
        <v>180</v>
      </c>
      <c r="B181" s="9">
        <v>4457</v>
      </c>
      <c r="C181" s="10">
        <v>45327</v>
      </c>
      <c r="D181" s="11">
        <v>21.75</v>
      </c>
      <c r="E181" s="12">
        <v>3</v>
      </c>
      <c r="F181" s="12">
        <v>1.9</v>
      </c>
      <c r="G181" s="12">
        <v>1.5</v>
      </c>
      <c r="H181" s="9" t="s">
        <v>47</v>
      </c>
      <c r="I181" s="9" t="s">
        <v>10</v>
      </c>
      <c r="J181" s="9" t="s">
        <v>48</v>
      </c>
      <c r="K181"/>
      <c r="U181"/>
      <c r="V181"/>
    </row>
    <row r="182" spans="1:22" ht="18" hidden="1">
      <c r="A182" s="9">
        <f>IF(Table1[[#This Row],[کد کوپ]]&lt;1,0,A181+1)</f>
        <v>181</v>
      </c>
      <c r="B182" s="9">
        <v>4458</v>
      </c>
      <c r="C182" s="10">
        <v>45327</v>
      </c>
      <c r="D182" s="11">
        <v>24.2</v>
      </c>
      <c r="E182" s="12">
        <v>2.8</v>
      </c>
      <c r="F182" s="12">
        <v>2.2000000000000002</v>
      </c>
      <c r="G182" s="12">
        <v>1.55</v>
      </c>
      <c r="H182" s="9" t="s">
        <v>47</v>
      </c>
      <c r="I182" s="9" t="s">
        <v>10</v>
      </c>
      <c r="J182" s="9" t="s">
        <v>48</v>
      </c>
      <c r="K182"/>
      <c r="U182"/>
      <c r="V182"/>
    </row>
    <row r="183" spans="1:22" ht="18" hidden="1">
      <c r="A183" s="9">
        <f>IF(Table1[[#This Row],[کد کوپ]]&lt;1,0,A182+1)</f>
        <v>182</v>
      </c>
      <c r="B183" s="9">
        <v>4459</v>
      </c>
      <c r="C183" s="10">
        <v>45328</v>
      </c>
      <c r="D183" s="11">
        <v>26.2</v>
      </c>
      <c r="E183" s="12">
        <v>2.95</v>
      </c>
      <c r="F183" s="12">
        <v>2.1</v>
      </c>
      <c r="G183" s="12">
        <v>1.85</v>
      </c>
      <c r="H183" s="9" t="s">
        <v>47</v>
      </c>
      <c r="I183" s="9" t="s">
        <v>10</v>
      </c>
      <c r="J183" s="9" t="s">
        <v>48</v>
      </c>
      <c r="K183"/>
      <c r="U183"/>
      <c r="V183"/>
    </row>
    <row r="184" spans="1:22" ht="18" hidden="1">
      <c r="A184" s="9">
        <f>IF(Table1[[#This Row],[کد کوپ]]&lt;1,0,A183+1)</f>
        <v>183</v>
      </c>
      <c r="B184" s="9">
        <v>4460</v>
      </c>
      <c r="C184" s="10">
        <v>45332</v>
      </c>
      <c r="D184" s="11">
        <v>22.7</v>
      </c>
      <c r="E184" s="12">
        <v>3.05</v>
      </c>
      <c r="F184" s="12">
        <v>1.95</v>
      </c>
      <c r="G184" s="12">
        <v>1.55</v>
      </c>
      <c r="H184" s="9" t="s">
        <v>47</v>
      </c>
      <c r="I184" s="9" t="s">
        <v>10</v>
      </c>
      <c r="J184" s="9" t="s">
        <v>48</v>
      </c>
      <c r="K184"/>
      <c r="U184"/>
      <c r="V184"/>
    </row>
    <row r="185" spans="1:22" ht="18" hidden="1">
      <c r="A185" s="9">
        <f>IF(Table1[[#This Row],[کد کوپ]]&lt;1,0,A184+1)</f>
        <v>184</v>
      </c>
      <c r="B185" s="9">
        <v>4461</v>
      </c>
      <c r="C185" s="10">
        <v>45335</v>
      </c>
      <c r="D185" s="11">
        <v>22.3</v>
      </c>
      <c r="E185" s="12">
        <v>2.4500000000000002</v>
      </c>
      <c r="F185" s="12">
        <v>1.95</v>
      </c>
      <c r="G185" s="12">
        <v>1.7</v>
      </c>
      <c r="H185" s="9" t="s">
        <v>9</v>
      </c>
      <c r="I185" s="9" t="s">
        <v>10</v>
      </c>
      <c r="J185" s="9" t="s">
        <v>11</v>
      </c>
      <c r="K185"/>
      <c r="U185"/>
      <c r="V185"/>
    </row>
    <row r="186" spans="1:22" ht="18" hidden="1">
      <c r="A186" s="9">
        <f>IF(Table1[[#This Row],[کد کوپ]]&lt;1,0,A185+1)</f>
        <v>185</v>
      </c>
      <c r="B186" s="9">
        <v>4462</v>
      </c>
      <c r="C186" s="10">
        <v>45339</v>
      </c>
      <c r="D186" s="11">
        <v>18.5</v>
      </c>
      <c r="E186" s="12">
        <v>2.75</v>
      </c>
      <c r="F186" s="12">
        <v>1.75</v>
      </c>
      <c r="G186" s="12">
        <v>1.5</v>
      </c>
      <c r="H186" s="9" t="s">
        <v>9</v>
      </c>
      <c r="I186" s="9" t="s">
        <v>10</v>
      </c>
      <c r="J186" s="9" t="s">
        <v>11</v>
      </c>
      <c r="K186"/>
      <c r="U186"/>
      <c r="V186"/>
    </row>
    <row r="187" spans="1:22" ht="18" hidden="1">
      <c r="A187" s="9">
        <f>IF(Table1[[#This Row],[کد کوپ]]&lt;1,0,A186+1)</f>
        <v>186</v>
      </c>
      <c r="B187" s="9">
        <v>4463</v>
      </c>
      <c r="C187" s="10">
        <v>45339</v>
      </c>
      <c r="D187" s="11">
        <v>24.55</v>
      </c>
      <c r="E187" s="12">
        <v>2.9</v>
      </c>
      <c r="F187" s="12">
        <v>1.9</v>
      </c>
      <c r="G187" s="12">
        <v>1.7</v>
      </c>
      <c r="H187" s="9" t="s">
        <v>9</v>
      </c>
      <c r="I187" s="9" t="s">
        <v>10</v>
      </c>
      <c r="J187" s="9" t="s">
        <v>11</v>
      </c>
      <c r="K187"/>
      <c r="U187"/>
      <c r="V187"/>
    </row>
    <row r="188" spans="1:22" ht="18" hidden="1">
      <c r="A188" s="9">
        <f>IF(Table1[[#This Row],[کد کوپ]]&lt;1,0,A187+1)</f>
        <v>187</v>
      </c>
      <c r="B188" s="9">
        <v>4464</v>
      </c>
      <c r="C188" s="10">
        <v>45343</v>
      </c>
      <c r="D188" s="11">
        <v>22.55</v>
      </c>
      <c r="E188" s="12">
        <v>3.1</v>
      </c>
      <c r="F188" s="12">
        <v>1.9</v>
      </c>
      <c r="G188" s="12">
        <v>1.45</v>
      </c>
      <c r="H188" s="9" t="s">
        <v>47</v>
      </c>
      <c r="I188" s="9" t="s">
        <v>10</v>
      </c>
      <c r="J188" s="9" t="s">
        <v>48</v>
      </c>
      <c r="K188"/>
      <c r="U188"/>
      <c r="V188"/>
    </row>
    <row r="189" spans="1:22" ht="18" hidden="1">
      <c r="A189" s="9">
        <f>IF(Table1[[#This Row],[کد کوپ]]&lt;1,0,A188+1)</f>
        <v>188</v>
      </c>
      <c r="B189" s="9">
        <v>4465</v>
      </c>
      <c r="C189" s="10">
        <v>45343</v>
      </c>
      <c r="D189" s="11">
        <v>18.5</v>
      </c>
      <c r="E189" s="12">
        <v>2.6</v>
      </c>
      <c r="F189" s="12">
        <v>1.5</v>
      </c>
      <c r="G189" s="12">
        <v>1.85</v>
      </c>
      <c r="H189" s="9" t="s">
        <v>23</v>
      </c>
      <c r="I189" s="9" t="s">
        <v>24</v>
      </c>
      <c r="J189" s="9" t="s">
        <v>33</v>
      </c>
      <c r="K189"/>
      <c r="U189"/>
      <c r="V189"/>
    </row>
    <row r="190" spans="1:22" ht="18" hidden="1">
      <c r="A190" s="9">
        <f>IF(Table1[[#This Row],[کد کوپ]]&lt;1,0,A189+1)</f>
        <v>189</v>
      </c>
      <c r="B190" s="9">
        <v>4466</v>
      </c>
      <c r="C190" s="10">
        <v>45347</v>
      </c>
      <c r="D190" s="11">
        <v>23.55</v>
      </c>
      <c r="E190" s="12">
        <v>3.06</v>
      </c>
      <c r="F190" s="12">
        <v>1.8</v>
      </c>
      <c r="G190" s="12">
        <v>1.58</v>
      </c>
      <c r="H190" s="9" t="s">
        <v>9</v>
      </c>
      <c r="I190" s="9" t="s">
        <v>10</v>
      </c>
      <c r="J190" s="9" t="s">
        <v>11</v>
      </c>
      <c r="K190"/>
      <c r="U190"/>
      <c r="V190"/>
    </row>
    <row r="191" spans="1:22" ht="18" hidden="1">
      <c r="A191" s="9">
        <f>IF(Table1[[#This Row],[کد کوپ]]&lt;1,0,A190+1)</f>
        <v>190</v>
      </c>
      <c r="B191" s="9">
        <v>4467</v>
      </c>
      <c r="C191" s="10">
        <v>45349</v>
      </c>
      <c r="D191" s="11">
        <v>23.01</v>
      </c>
      <c r="E191" s="12">
        <v>3.07</v>
      </c>
      <c r="F191" s="12">
        <v>1.8</v>
      </c>
      <c r="G191" s="12">
        <v>1.5</v>
      </c>
      <c r="H191" s="9" t="s">
        <v>9</v>
      </c>
      <c r="I191" s="9" t="s">
        <v>10</v>
      </c>
      <c r="J191" s="9" t="s">
        <v>11</v>
      </c>
      <c r="K191"/>
      <c r="U191"/>
      <c r="V191"/>
    </row>
    <row r="192" spans="1:22" ht="18" hidden="1">
      <c r="A192" s="9">
        <f>IF(Table1[[#This Row],[کد کوپ]]&lt;1,0,A191+1)</f>
        <v>191</v>
      </c>
      <c r="B192" s="9">
        <v>4468</v>
      </c>
      <c r="C192" s="10">
        <v>45349</v>
      </c>
      <c r="D192" s="11">
        <v>19.3</v>
      </c>
      <c r="E192" s="12">
        <v>3.05</v>
      </c>
      <c r="F192" s="12">
        <v>1.55</v>
      </c>
      <c r="G192" s="12">
        <v>1.5</v>
      </c>
      <c r="H192" s="9" t="s">
        <v>9</v>
      </c>
      <c r="I192" s="9" t="s">
        <v>10</v>
      </c>
      <c r="J192" s="9" t="s">
        <v>11</v>
      </c>
      <c r="K192"/>
      <c r="U192"/>
      <c r="V192"/>
    </row>
    <row r="193" spans="1:22" ht="18" hidden="1">
      <c r="A193" s="9">
        <f>IF(Table1[[#This Row],[کد کوپ]]&lt;1,0,A192+1)</f>
        <v>192</v>
      </c>
      <c r="B193" s="9">
        <v>4469</v>
      </c>
      <c r="C193" s="10">
        <v>45350</v>
      </c>
      <c r="D193" s="11">
        <v>20.5</v>
      </c>
      <c r="E193" s="12">
        <v>2.9</v>
      </c>
      <c r="F193" s="12">
        <v>1.85</v>
      </c>
      <c r="G193" s="12">
        <v>1.48</v>
      </c>
      <c r="H193" s="9" t="s">
        <v>9</v>
      </c>
      <c r="I193" s="9" t="s">
        <v>10</v>
      </c>
      <c r="J193" s="9" t="s">
        <v>11</v>
      </c>
      <c r="K193"/>
      <c r="U193"/>
      <c r="V193"/>
    </row>
    <row r="194" spans="1:22" ht="18" hidden="1">
      <c r="A194" s="9">
        <f>IF(Table1[[#This Row],[کد کوپ]]&lt;1,0,A193+1)</f>
        <v>193</v>
      </c>
      <c r="B194" s="9">
        <v>4470</v>
      </c>
      <c r="C194" s="10">
        <v>45354</v>
      </c>
      <c r="D194" s="11">
        <v>17.100000000000001</v>
      </c>
      <c r="E194" s="12">
        <v>2.4</v>
      </c>
      <c r="F194" s="12">
        <v>1.6</v>
      </c>
      <c r="G194" s="12">
        <v>1.6</v>
      </c>
      <c r="H194" s="9" t="s">
        <v>9</v>
      </c>
      <c r="I194" s="9" t="s">
        <v>10</v>
      </c>
      <c r="J194" s="9" t="s">
        <v>11</v>
      </c>
      <c r="K194"/>
      <c r="U194"/>
      <c r="V194"/>
    </row>
    <row r="195" spans="1:22" ht="18" hidden="1">
      <c r="A195" s="9">
        <f>IF(Table1[[#This Row],[کد کوپ]]&lt;1,0,A194+1)</f>
        <v>194</v>
      </c>
      <c r="B195" s="9">
        <v>4471</v>
      </c>
      <c r="C195" s="10">
        <v>45354</v>
      </c>
      <c r="D195" s="11">
        <v>22.4</v>
      </c>
      <c r="E195" s="12">
        <v>2.6</v>
      </c>
      <c r="F195" s="12">
        <v>1.8</v>
      </c>
      <c r="G195" s="12">
        <v>1.7</v>
      </c>
      <c r="H195" s="9" t="s">
        <v>9</v>
      </c>
      <c r="I195" s="9" t="s">
        <v>10</v>
      </c>
      <c r="J195" s="9" t="s">
        <v>11</v>
      </c>
      <c r="K195"/>
      <c r="U195"/>
      <c r="V195"/>
    </row>
    <row r="196" spans="1:22" ht="18" hidden="1">
      <c r="A196" s="9">
        <f>IF(Table1[[#This Row],[کد کوپ]]&lt;1,0,A195+1)</f>
        <v>195</v>
      </c>
      <c r="B196" s="9">
        <v>4472</v>
      </c>
      <c r="C196" s="10">
        <v>45354</v>
      </c>
      <c r="D196" s="11">
        <v>22.5</v>
      </c>
      <c r="E196" s="12">
        <v>3.05</v>
      </c>
      <c r="F196" s="12">
        <v>1.8</v>
      </c>
      <c r="G196" s="12">
        <v>1.7</v>
      </c>
      <c r="H196" s="9" t="s">
        <v>9</v>
      </c>
      <c r="I196" s="9" t="s">
        <v>34</v>
      </c>
      <c r="J196" s="9" t="s">
        <v>35</v>
      </c>
      <c r="K196"/>
      <c r="U196"/>
      <c r="V196"/>
    </row>
    <row r="197" spans="1:22" ht="18" hidden="1">
      <c r="A197" s="9">
        <f>IF(Table1[[#This Row],[کد کوپ]]&lt;1,0,A196+1)</f>
        <v>196</v>
      </c>
      <c r="B197" s="9">
        <v>4473</v>
      </c>
      <c r="C197" s="10">
        <v>45354</v>
      </c>
      <c r="D197" s="11">
        <v>25</v>
      </c>
      <c r="E197" s="12">
        <v>2.9</v>
      </c>
      <c r="F197" s="12">
        <v>1.78</v>
      </c>
      <c r="G197" s="12">
        <v>1.7</v>
      </c>
      <c r="H197" s="9" t="s">
        <v>9</v>
      </c>
      <c r="I197" s="9" t="s">
        <v>10</v>
      </c>
      <c r="J197" s="9" t="s">
        <v>11</v>
      </c>
      <c r="K197"/>
      <c r="U197"/>
      <c r="V197"/>
    </row>
    <row r="198" spans="1:22" ht="18" hidden="1">
      <c r="A198" s="9">
        <f>IF(Table1[[#This Row],[کد کوپ]]&lt;1,0,A197+1)</f>
        <v>197</v>
      </c>
      <c r="B198" s="9">
        <v>4474</v>
      </c>
      <c r="C198" s="10">
        <v>45355</v>
      </c>
      <c r="D198" s="11">
        <v>20.45</v>
      </c>
      <c r="E198" s="12">
        <v>2.5</v>
      </c>
      <c r="F198" s="12">
        <v>1.8</v>
      </c>
      <c r="G198" s="12">
        <v>1.67</v>
      </c>
      <c r="H198" s="9" t="s">
        <v>9</v>
      </c>
      <c r="I198" s="9" t="s">
        <v>10</v>
      </c>
      <c r="J198" s="9" t="s">
        <v>11</v>
      </c>
      <c r="K198"/>
      <c r="U198"/>
      <c r="V198"/>
    </row>
    <row r="199" spans="1:22" ht="18" hidden="1">
      <c r="A199" s="9">
        <f>IF(Table1[[#This Row],[کد کوپ]]&lt;1,0,A198+1)</f>
        <v>198</v>
      </c>
      <c r="B199" s="9">
        <v>4475</v>
      </c>
      <c r="C199" s="10">
        <v>45357</v>
      </c>
      <c r="D199" s="11">
        <v>12.82</v>
      </c>
      <c r="E199" s="12">
        <v>1.73</v>
      </c>
      <c r="F199" s="12">
        <v>1.75</v>
      </c>
      <c r="G199" s="12">
        <v>1.64</v>
      </c>
      <c r="H199" s="9" t="s">
        <v>9</v>
      </c>
      <c r="I199" s="9" t="s">
        <v>10</v>
      </c>
      <c r="J199" s="9" t="s">
        <v>11</v>
      </c>
      <c r="K199"/>
      <c r="U199"/>
      <c r="V199"/>
    </row>
    <row r="200" spans="1:22" ht="18" hidden="1">
      <c r="A200" s="9">
        <f>IF(Table1[[#This Row],[کد کوپ]]&lt;1,0,A199+1)</f>
        <v>199</v>
      </c>
      <c r="B200" s="9">
        <v>4476</v>
      </c>
      <c r="C200" s="10">
        <v>45357</v>
      </c>
      <c r="D200" s="11">
        <v>12.44</v>
      </c>
      <c r="E200" s="12">
        <v>1.8</v>
      </c>
      <c r="F200" s="12">
        <v>1.7</v>
      </c>
      <c r="G200" s="12">
        <v>1.46</v>
      </c>
      <c r="H200" s="9" t="s">
        <v>9</v>
      </c>
      <c r="I200" s="9" t="s">
        <v>10</v>
      </c>
      <c r="J200" s="9" t="s">
        <v>11</v>
      </c>
      <c r="K200"/>
      <c r="U200"/>
      <c r="V200"/>
    </row>
    <row r="201" spans="1:22" ht="18" hidden="1">
      <c r="A201" s="9">
        <f>IF(Table1[[#This Row],[کد کوپ]]&lt;1,0,A200+1)</f>
        <v>200</v>
      </c>
      <c r="B201" s="9">
        <v>4477</v>
      </c>
      <c r="C201" s="10">
        <v>45357</v>
      </c>
      <c r="D201" s="11">
        <v>16.7</v>
      </c>
      <c r="E201" s="12">
        <v>2.98</v>
      </c>
      <c r="F201" s="12">
        <v>1.8</v>
      </c>
      <c r="G201" s="12">
        <v>1.1200000000000001</v>
      </c>
      <c r="H201" s="9" t="s">
        <v>9</v>
      </c>
      <c r="I201" s="9" t="s">
        <v>10</v>
      </c>
      <c r="J201" s="9" t="s">
        <v>11</v>
      </c>
      <c r="K201"/>
      <c r="U201"/>
      <c r="V201"/>
    </row>
    <row r="202" spans="1:22" ht="18" hidden="1">
      <c r="A202" s="9">
        <f>IF(Table1[[#This Row],[کد کوپ]]&lt;1,0,A201+1)</f>
        <v>201</v>
      </c>
      <c r="B202" s="9">
        <v>4478</v>
      </c>
      <c r="C202" s="10">
        <v>45357</v>
      </c>
      <c r="D202" s="11">
        <v>12.06</v>
      </c>
      <c r="E202" s="12">
        <v>2.2999999999999998</v>
      </c>
      <c r="F202" s="12">
        <v>1.7</v>
      </c>
      <c r="G202" s="12">
        <v>1.1200000000000001</v>
      </c>
      <c r="H202" s="9" t="s">
        <v>9</v>
      </c>
      <c r="I202" s="9" t="s">
        <v>10</v>
      </c>
      <c r="J202" s="9" t="s">
        <v>11</v>
      </c>
      <c r="K202"/>
      <c r="U202"/>
      <c r="V202"/>
    </row>
    <row r="203" spans="1:22" ht="18" hidden="1">
      <c r="A203" s="9">
        <f>IF(Table1[[#This Row],[کد کوپ]]&lt;1,0,A202+1)</f>
        <v>202</v>
      </c>
      <c r="B203" s="9">
        <v>4479</v>
      </c>
      <c r="C203" s="10">
        <v>45357</v>
      </c>
      <c r="D203" s="11">
        <v>26.8</v>
      </c>
      <c r="E203" s="12">
        <v>2.7</v>
      </c>
      <c r="F203" s="12">
        <v>2.13</v>
      </c>
      <c r="G203" s="12">
        <v>1.8</v>
      </c>
      <c r="H203" s="9" t="s">
        <v>26</v>
      </c>
      <c r="I203" s="9" t="s">
        <v>37</v>
      </c>
      <c r="J203" s="9" t="s">
        <v>35</v>
      </c>
      <c r="K203"/>
      <c r="U203"/>
      <c r="V203"/>
    </row>
    <row r="204" spans="1:22" ht="18" hidden="1">
      <c r="A204" s="9">
        <f>IF(Table1[[#This Row],[کد کوپ]]&lt;1,0,A203+1)</f>
        <v>203</v>
      </c>
      <c r="B204" s="9">
        <v>4480</v>
      </c>
      <c r="C204" s="10">
        <v>45357</v>
      </c>
      <c r="D204" s="11">
        <v>24.2</v>
      </c>
      <c r="E204" s="12">
        <v>2.95</v>
      </c>
      <c r="F204" s="12">
        <v>1.75</v>
      </c>
      <c r="G204" s="12">
        <v>1.75</v>
      </c>
      <c r="H204" s="9" t="s">
        <v>26</v>
      </c>
      <c r="I204" s="9" t="s">
        <v>37</v>
      </c>
      <c r="J204" s="9" t="s">
        <v>35</v>
      </c>
      <c r="K204"/>
      <c r="U204"/>
      <c r="V204"/>
    </row>
    <row r="205" spans="1:22" ht="18" hidden="1">
      <c r="A205" s="9">
        <f>IF(Table1[[#This Row],[کد کوپ]]&lt;1,0,A204+1)</f>
        <v>204</v>
      </c>
      <c r="B205" s="9">
        <v>4481</v>
      </c>
      <c r="C205" s="10">
        <v>45357</v>
      </c>
      <c r="D205" s="11">
        <v>26.9</v>
      </c>
      <c r="E205" s="12">
        <v>3.1</v>
      </c>
      <c r="F205" s="12">
        <v>1.9</v>
      </c>
      <c r="G205" s="12">
        <v>1.9</v>
      </c>
      <c r="H205" s="9" t="s">
        <v>26</v>
      </c>
      <c r="I205" s="9" t="s">
        <v>37</v>
      </c>
      <c r="J205" s="9" t="s">
        <v>35</v>
      </c>
      <c r="K205"/>
      <c r="U205"/>
      <c r="V205"/>
    </row>
    <row r="206" spans="1:22" ht="18" hidden="1">
      <c r="A206" s="9">
        <f>IF(Table1[[#This Row],[کد کوپ]]&lt;1,0,A205+1)</f>
        <v>205</v>
      </c>
      <c r="B206" s="9">
        <v>4482</v>
      </c>
      <c r="C206" s="10">
        <v>45357</v>
      </c>
      <c r="D206" s="11">
        <v>23.7</v>
      </c>
      <c r="E206" s="12">
        <v>2.8</v>
      </c>
      <c r="F206" s="12">
        <v>2.1</v>
      </c>
      <c r="G206" s="12">
        <v>1.5</v>
      </c>
      <c r="H206" s="9" t="s">
        <v>26</v>
      </c>
      <c r="I206" s="9" t="s">
        <v>37</v>
      </c>
      <c r="J206" s="9" t="s">
        <v>35</v>
      </c>
      <c r="K206"/>
      <c r="U206"/>
      <c r="V206"/>
    </row>
    <row r="207" spans="1:22" ht="18" hidden="1">
      <c r="A207" s="9">
        <f>IF(Table1[[#This Row],[کد کوپ]]&lt;1,0,A206+1)</f>
        <v>206</v>
      </c>
      <c r="B207" s="9">
        <v>4483</v>
      </c>
      <c r="C207" s="10">
        <v>45358</v>
      </c>
      <c r="D207" s="11">
        <v>15.28</v>
      </c>
      <c r="E207" s="12">
        <v>1.85</v>
      </c>
      <c r="F207" s="12">
        <v>1.8</v>
      </c>
      <c r="G207" s="12">
        <v>1.8</v>
      </c>
      <c r="H207" s="9" t="s">
        <v>9</v>
      </c>
      <c r="I207" s="9" t="s">
        <v>10</v>
      </c>
      <c r="J207" s="9" t="s">
        <v>11</v>
      </c>
      <c r="K207"/>
      <c r="U207"/>
      <c r="V207"/>
    </row>
    <row r="208" spans="1:22" ht="18" hidden="1">
      <c r="A208" s="9">
        <f>IF(Table1[[#This Row],[کد کوپ]]&lt;1,0,A207+1)</f>
        <v>207</v>
      </c>
      <c r="B208" s="9">
        <v>4484</v>
      </c>
      <c r="C208" s="10">
        <v>45358</v>
      </c>
      <c r="D208" s="11">
        <v>10.95</v>
      </c>
      <c r="E208" s="12">
        <v>1.95</v>
      </c>
      <c r="F208" s="12">
        <v>1.4</v>
      </c>
      <c r="G208" s="12">
        <v>1.44</v>
      </c>
      <c r="H208" s="9" t="s">
        <v>9</v>
      </c>
      <c r="I208" s="9" t="s">
        <v>10</v>
      </c>
      <c r="J208" s="9" t="s">
        <v>11</v>
      </c>
      <c r="K208"/>
      <c r="U208"/>
      <c r="V208"/>
    </row>
    <row r="209" spans="1:22" ht="18" hidden="1">
      <c r="A209" s="9">
        <f>IF(Table1[[#This Row],[کد کوپ]]&lt;1,0,A208+1)</f>
        <v>208</v>
      </c>
      <c r="B209" s="9">
        <v>4485</v>
      </c>
      <c r="C209" s="10">
        <v>45360</v>
      </c>
      <c r="D209" s="11">
        <v>19.399999999999999</v>
      </c>
      <c r="E209" s="12">
        <v>2.4</v>
      </c>
      <c r="F209" s="12">
        <v>1.75</v>
      </c>
      <c r="G209" s="12">
        <v>1.5</v>
      </c>
      <c r="H209" s="9" t="s">
        <v>9</v>
      </c>
      <c r="I209" s="9" t="s">
        <v>10</v>
      </c>
      <c r="J209" s="9" t="s">
        <v>11</v>
      </c>
      <c r="K209"/>
      <c r="U209"/>
      <c r="V209"/>
    </row>
    <row r="210" spans="1:22" ht="18" hidden="1">
      <c r="A210" s="9">
        <f>IF(Table1[[#This Row],[کد کوپ]]&lt;1,0,A209+1)</f>
        <v>209</v>
      </c>
      <c r="B210" s="9">
        <v>4486</v>
      </c>
      <c r="C210" s="10">
        <v>45360</v>
      </c>
      <c r="D210" s="11">
        <v>25.8</v>
      </c>
      <c r="E210" s="12">
        <v>2.85</v>
      </c>
      <c r="F210" s="12">
        <v>1.95</v>
      </c>
      <c r="G210" s="12">
        <v>1.7</v>
      </c>
      <c r="H210" s="9" t="s">
        <v>9</v>
      </c>
      <c r="I210" s="9" t="s">
        <v>10</v>
      </c>
      <c r="J210" s="9" t="s">
        <v>11</v>
      </c>
      <c r="K210"/>
      <c r="U210"/>
      <c r="V210"/>
    </row>
    <row r="211" spans="1:22" ht="18" hidden="1">
      <c r="A211" s="9">
        <f>IF(Table1[[#This Row],[کد کوپ]]&lt;1,0,A210+1)</f>
        <v>210</v>
      </c>
      <c r="B211" s="9">
        <v>4487</v>
      </c>
      <c r="C211" s="10">
        <v>45360</v>
      </c>
      <c r="D211" s="11">
        <v>27.7</v>
      </c>
      <c r="E211" s="12">
        <v>2.95</v>
      </c>
      <c r="F211" s="12">
        <v>1.93</v>
      </c>
      <c r="G211" s="12">
        <v>1.7</v>
      </c>
      <c r="H211" s="9" t="s">
        <v>9</v>
      </c>
      <c r="I211" s="9" t="s">
        <v>10</v>
      </c>
      <c r="J211" s="9" t="s">
        <v>11</v>
      </c>
      <c r="K211"/>
      <c r="U211"/>
      <c r="V211"/>
    </row>
    <row r="212" spans="1:22" ht="18">
      <c r="A212" s="9">
        <f>IF(Table1[[#This Row],[کد کوپ]]&lt;1,0,A211+1)</f>
        <v>211</v>
      </c>
      <c r="B212" s="9">
        <v>4488</v>
      </c>
      <c r="C212" s="10">
        <v>45361</v>
      </c>
      <c r="D212" s="11">
        <v>24.4</v>
      </c>
      <c r="E212" s="12">
        <v>2.95</v>
      </c>
      <c r="F212" s="12">
        <v>1.8</v>
      </c>
      <c r="G212" s="12">
        <v>1.5</v>
      </c>
      <c r="H212" s="9" t="s">
        <v>23</v>
      </c>
      <c r="I212" s="9" t="s">
        <v>27</v>
      </c>
      <c r="J212" s="9" t="s">
        <v>25</v>
      </c>
      <c r="K212"/>
      <c r="U212"/>
      <c r="V212"/>
    </row>
    <row r="213" spans="1:22" ht="18" hidden="1">
      <c r="A213" s="9">
        <f>IF(Table1[[#This Row],[کد کوپ]]&lt;1,0,A212+1)</f>
        <v>212</v>
      </c>
      <c r="B213" s="9">
        <v>4489</v>
      </c>
      <c r="C213" s="10">
        <v>45362</v>
      </c>
      <c r="D213" s="11">
        <v>15.51</v>
      </c>
      <c r="E213" s="12">
        <v>1.93</v>
      </c>
      <c r="F213" s="12">
        <v>1.75</v>
      </c>
      <c r="G213" s="12">
        <v>1.73</v>
      </c>
      <c r="H213" s="9" t="s">
        <v>9</v>
      </c>
      <c r="I213" s="9" t="s">
        <v>10</v>
      </c>
      <c r="J213" s="9" t="s">
        <v>11</v>
      </c>
      <c r="K213"/>
      <c r="U213"/>
      <c r="V213"/>
    </row>
    <row r="214" spans="1:22" ht="18" hidden="1">
      <c r="A214" s="9">
        <f>IF(Table1[[#This Row],[کد کوپ]]&lt;1,0,A213+1)</f>
        <v>213</v>
      </c>
      <c r="B214" s="9">
        <v>4490</v>
      </c>
      <c r="C214" s="10">
        <v>45362</v>
      </c>
      <c r="D214" s="11">
        <v>6.35</v>
      </c>
      <c r="E214" s="12">
        <v>1.73</v>
      </c>
      <c r="F214" s="12">
        <v>1.37</v>
      </c>
      <c r="G214" s="12">
        <v>1</v>
      </c>
      <c r="H214" s="9" t="s">
        <v>9</v>
      </c>
      <c r="I214" s="9" t="s">
        <v>10</v>
      </c>
      <c r="J214" s="9" t="s">
        <v>11</v>
      </c>
      <c r="K214"/>
      <c r="U214"/>
      <c r="V214"/>
    </row>
    <row r="215" spans="1:22" ht="18" hidden="1">
      <c r="A215" s="9">
        <f>IF(Table1[[#This Row],[کد کوپ]]&lt;1,0,A214+1)</f>
        <v>214</v>
      </c>
      <c r="B215" s="9">
        <v>4491</v>
      </c>
      <c r="C215" s="10">
        <v>45362</v>
      </c>
      <c r="D215" s="11">
        <v>16.399999999999999</v>
      </c>
      <c r="E215" s="12">
        <v>2.0499999999999998</v>
      </c>
      <c r="F215" s="12">
        <v>1.78</v>
      </c>
      <c r="G215" s="12">
        <v>1.7</v>
      </c>
      <c r="H215" s="9" t="s">
        <v>9</v>
      </c>
      <c r="I215" s="9" t="s">
        <v>10</v>
      </c>
      <c r="J215" s="9" t="s">
        <v>11</v>
      </c>
      <c r="K215"/>
      <c r="U215"/>
      <c r="V215"/>
    </row>
    <row r="216" spans="1:22" ht="18" hidden="1">
      <c r="A216" s="9">
        <f>IF(Table1[[#This Row],[کد کوپ]]&lt;1,0,A215+1)</f>
        <v>215</v>
      </c>
      <c r="B216" s="9">
        <v>4492</v>
      </c>
      <c r="C216" s="10">
        <v>45362</v>
      </c>
      <c r="D216" s="11">
        <v>7.89</v>
      </c>
      <c r="E216" s="12">
        <v>1.9</v>
      </c>
      <c r="F216" s="12">
        <v>1.57</v>
      </c>
      <c r="G216" s="12">
        <v>0.94</v>
      </c>
      <c r="H216" s="9" t="s">
        <v>9</v>
      </c>
      <c r="I216" s="9" t="s">
        <v>10</v>
      </c>
      <c r="J216" s="9" t="s">
        <v>11</v>
      </c>
      <c r="K216"/>
      <c r="U216"/>
      <c r="V216"/>
    </row>
    <row r="217" spans="1:22" ht="18" hidden="1">
      <c r="A217" s="9">
        <f>IF(Table1[[#This Row],[کد کوپ]]&lt;1,0,A216+1)</f>
        <v>216</v>
      </c>
      <c r="B217" s="9">
        <v>4493</v>
      </c>
      <c r="C217" s="10">
        <v>45363</v>
      </c>
      <c r="D217" s="11">
        <v>21.945</v>
      </c>
      <c r="E217" s="12">
        <v>2.77</v>
      </c>
      <c r="F217" s="12">
        <v>1.8</v>
      </c>
      <c r="G217" s="12">
        <v>1.7</v>
      </c>
      <c r="H217" s="9" t="s">
        <v>9</v>
      </c>
      <c r="I217" s="9" t="s">
        <v>10</v>
      </c>
      <c r="J217" s="9" t="s">
        <v>11</v>
      </c>
      <c r="K217"/>
      <c r="U217"/>
      <c r="V217"/>
    </row>
    <row r="218" spans="1:22" ht="18" hidden="1">
      <c r="A218" s="9">
        <f>IF(Table1[[#This Row],[کد کوپ]]&lt;1,0,A217+1)</f>
        <v>217</v>
      </c>
      <c r="B218" s="9">
        <v>4494</v>
      </c>
      <c r="C218" s="10">
        <v>45364</v>
      </c>
      <c r="D218" s="11">
        <v>21.7</v>
      </c>
      <c r="E218" s="12">
        <v>2.2999999999999998</v>
      </c>
      <c r="F218" s="12">
        <v>1.8</v>
      </c>
      <c r="G218" s="12">
        <v>1.95</v>
      </c>
      <c r="H218" s="9" t="s">
        <v>9</v>
      </c>
      <c r="I218" s="9" t="s">
        <v>10</v>
      </c>
      <c r="J218" s="9" t="s">
        <v>11</v>
      </c>
      <c r="K218"/>
      <c r="U218"/>
      <c r="V218"/>
    </row>
    <row r="219" spans="1:22" ht="18" hidden="1">
      <c r="A219" s="9">
        <f>IF(Table1[[#This Row],[کد کوپ]]&lt;1,0,A218+1)</f>
        <v>218</v>
      </c>
      <c r="B219" s="9">
        <v>4495</v>
      </c>
      <c r="C219" s="10">
        <v>45366</v>
      </c>
      <c r="D219" s="11">
        <v>20.38</v>
      </c>
      <c r="E219" s="12">
        <v>2.4500000000000002</v>
      </c>
      <c r="F219" s="12">
        <v>1.8</v>
      </c>
      <c r="G219" s="12">
        <v>1.8</v>
      </c>
      <c r="H219" s="9" t="s">
        <v>9</v>
      </c>
      <c r="I219" s="9" t="s">
        <v>10</v>
      </c>
      <c r="J219" s="9" t="s">
        <v>11</v>
      </c>
      <c r="K219"/>
      <c r="U219"/>
      <c r="V219"/>
    </row>
    <row r="220" spans="1:22" ht="18" hidden="1">
      <c r="A220" s="9">
        <f>IF(Table1[[#This Row],[کد کوپ]]&lt;1,0,A219+1)</f>
        <v>219</v>
      </c>
      <c r="B220" s="9">
        <v>4496</v>
      </c>
      <c r="C220" s="10">
        <v>45366</v>
      </c>
      <c r="D220" s="11">
        <v>18.899999999999999</v>
      </c>
      <c r="E220" s="12">
        <v>2.95</v>
      </c>
      <c r="F220" s="12">
        <v>1.68</v>
      </c>
      <c r="G220" s="12">
        <v>1.38</v>
      </c>
      <c r="H220" s="9" t="s">
        <v>9</v>
      </c>
      <c r="I220" s="9" t="s">
        <v>10</v>
      </c>
      <c r="J220" s="9" t="s">
        <v>11</v>
      </c>
      <c r="K220"/>
      <c r="U220"/>
      <c r="V220"/>
    </row>
    <row r="221" spans="1:22" ht="18" hidden="1">
      <c r="A221" s="9">
        <f>IF(Table1[[#This Row],[کد کوپ]]&lt;1,0,A220+1)</f>
        <v>220</v>
      </c>
      <c r="B221" s="9">
        <v>4497</v>
      </c>
      <c r="C221" s="10">
        <v>45366</v>
      </c>
      <c r="D221" s="11">
        <v>17.600000000000001</v>
      </c>
      <c r="E221" s="12">
        <v>2.9</v>
      </c>
      <c r="F221" s="12">
        <v>1.75</v>
      </c>
      <c r="G221" s="12">
        <v>1.3</v>
      </c>
      <c r="H221" s="9" t="s">
        <v>9</v>
      </c>
      <c r="I221" s="9" t="s">
        <v>10</v>
      </c>
      <c r="J221" s="9" t="s">
        <v>11</v>
      </c>
      <c r="K221"/>
      <c r="U221"/>
      <c r="V221"/>
    </row>
    <row r="222" spans="1:22" ht="18" hidden="1">
      <c r="A222" s="9">
        <f>IF(Table1[[#This Row],[کد کوپ]]&lt;1,0,A221+1)</f>
        <v>221</v>
      </c>
      <c r="B222" s="9">
        <v>4498</v>
      </c>
      <c r="C222" s="10">
        <v>45367</v>
      </c>
      <c r="D222" s="11">
        <v>19.36</v>
      </c>
      <c r="E222" s="12">
        <v>2.95</v>
      </c>
      <c r="F222" s="12">
        <v>1.92</v>
      </c>
      <c r="G222" s="12">
        <v>1.3</v>
      </c>
      <c r="H222" s="9" t="s">
        <v>9</v>
      </c>
      <c r="I222" s="9" t="s">
        <v>10</v>
      </c>
      <c r="J222" s="9" t="s">
        <v>11</v>
      </c>
      <c r="K222"/>
      <c r="U222"/>
      <c r="V222"/>
    </row>
    <row r="223" spans="1:22" ht="18" hidden="1">
      <c r="A223" s="9">
        <f>IF(Table1[[#This Row],[کد کوپ]]&lt;1,0,A222+1)</f>
        <v>222</v>
      </c>
      <c r="B223" s="9">
        <v>4499</v>
      </c>
      <c r="C223" s="10">
        <v>45368</v>
      </c>
      <c r="D223" s="11">
        <v>18.22</v>
      </c>
      <c r="E223" s="12">
        <v>2.4700000000000002</v>
      </c>
      <c r="F223" s="12">
        <v>1.75</v>
      </c>
      <c r="G223" s="12">
        <v>1.55</v>
      </c>
      <c r="H223" s="9" t="s">
        <v>9</v>
      </c>
      <c r="I223" s="9" t="s">
        <v>10</v>
      </c>
      <c r="J223" s="9" t="s">
        <v>11</v>
      </c>
      <c r="K223"/>
      <c r="U223"/>
      <c r="V223"/>
    </row>
    <row r="224" spans="1:22" ht="18" hidden="1">
      <c r="A224" s="9">
        <f>IF(Table1[[#This Row],[کد کوپ]]&lt;1,0,A223+1)</f>
        <v>223</v>
      </c>
      <c r="B224" s="9">
        <v>4500</v>
      </c>
      <c r="C224" s="10">
        <v>45376</v>
      </c>
      <c r="D224" s="11">
        <v>20.399999999999999</v>
      </c>
      <c r="E224" s="12">
        <v>2.4500000000000002</v>
      </c>
      <c r="F224" s="12">
        <v>1.75</v>
      </c>
      <c r="G224" s="12">
        <v>1.7</v>
      </c>
      <c r="H224" s="9" t="s">
        <v>9</v>
      </c>
      <c r="I224" s="9" t="s">
        <v>10</v>
      </c>
      <c r="J224" s="9" t="s">
        <v>11</v>
      </c>
      <c r="K224"/>
      <c r="U224"/>
      <c r="V224"/>
    </row>
    <row r="225" spans="1:22" ht="18" hidden="1">
      <c r="A225" s="9">
        <f>IF(Table1[[#This Row],[کد کوپ]]&lt;1,0,A224+1)</f>
        <v>224</v>
      </c>
      <c r="B225" s="9">
        <v>4501</v>
      </c>
      <c r="C225" s="10">
        <v>45380</v>
      </c>
      <c r="D225" s="11">
        <v>19.600000000000001</v>
      </c>
      <c r="E225" s="12">
        <v>2.6</v>
      </c>
      <c r="F225" s="12">
        <v>1.8</v>
      </c>
      <c r="G225" s="12">
        <v>1.55</v>
      </c>
      <c r="H225" s="9" t="s">
        <v>9</v>
      </c>
      <c r="I225" s="9" t="s">
        <v>10</v>
      </c>
      <c r="J225" s="9" t="s">
        <v>11</v>
      </c>
      <c r="K225"/>
      <c r="U225"/>
      <c r="V225"/>
    </row>
    <row r="226" spans="1:22" ht="18" hidden="1">
      <c r="A226" s="9">
        <f>IF(Table1[[#This Row],[کد کوپ]]&lt;1,0,A225+1)</f>
        <v>225</v>
      </c>
      <c r="B226" s="9">
        <v>4502</v>
      </c>
      <c r="C226" s="10">
        <v>45380</v>
      </c>
      <c r="D226" s="11">
        <v>19.600000000000001</v>
      </c>
      <c r="E226" s="12">
        <v>2.65</v>
      </c>
      <c r="F226" s="12">
        <v>1.9</v>
      </c>
      <c r="G226" s="12">
        <v>1.45</v>
      </c>
      <c r="H226" s="9" t="s">
        <v>9</v>
      </c>
      <c r="I226" s="9" t="s">
        <v>10</v>
      </c>
      <c r="J226" s="9" t="s">
        <v>11</v>
      </c>
      <c r="K226"/>
      <c r="U226"/>
      <c r="V226"/>
    </row>
    <row r="227" spans="1:22" ht="18" hidden="1">
      <c r="A227" s="9">
        <f>IF(Table1[[#This Row],[کد کوپ]]&lt;1,0,A226+1)</f>
        <v>226</v>
      </c>
      <c r="B227" s="9">
        <v>4503</v>
      </c>
      <c r="C227" s="10">
        <v>45385</v>
      </c>
      <c r="D227" s="11">
        <v>16.7</v>
      </c>
      <c r="E227" s="12">
        <v>2</v>
      </c>
      <c r="F227" s="12">
        <v>1.8</v>
      </c>
      <c r="G227" s="12">
        <v>1.75</v>
      </c>
      <c r="H227" s="9" t="s">
        <v>9</v>
      </c>
      <c r="I227" s="9" t="s">
        <v>10</v>
      </c>
      <c r="J227" s="9" t="s">
        <v>11</v>
      </c>
      <c r="K227"/>
      <c r="U227"/>
      <c r="V227"/>
    </row>
    <row r="228" spans="1:22" ht="18" hidden="1">
      <c r="A228" s="9">
        <f>IF(Table1[[#This Row],[کد کوپ]]&lt;1,0,A227+1)</f>
        <v>227</v>
      </c>
      <c r="B228" s="9">
        <v>4504</v>
      </c>
      <c r="C228" s="10">
        <v>45385</v>
      </c>
      <c r="D228" s="11">
        <v>20.21</v>
      </c>
      <c r="E228" s="12">
        <v>2.2000000000000002</v>
      </c>
      <c r="F228" s="12">
        <v>1.95</v>
      </c>
      <c r="G228" s="12">
        <v>1.75</v>
      </c>
      <c r="H228" s="9" t="s">
        <v>9</v>
      </c>
      <c r="I228" s="9" t="s">
        <v>10</v>
      </c>
      <c r="J228" s="9" t="s">
        <v>11</v>
      </c>
      <c r="K228"/>
      <c r="U228"/>
      <c r="V228"/>
    </row>
    <row r="229" spans="1:22" ht="18" hidden="1">
      <c r="A229" s="9">
        <f>IF(Table1[[#This Row],[کد کوپ]]&lt;1,0,A228+1)</f>
        <v>228</v>
      </c>
      <c r="B229" s="9">
        <v>4505</v>
      </c>
      <c r="C229" s="10">
        <v>45385</v>
      </c>
      <c r="D229" s="11">
        <v>14.7</v>
      </c>
      <c r="E229" s="12">
        <v>2.7</v>
      </c>
      <c r="F229" s="12">
        <v>1.9</v>
      </c>
      <c r="G229" s="12">
        <v>1.1499999999999999</v>
      </c>
      <c r="H229" s="9" t="s">
        <v>23</v>
      </c>
      <c r="I229" s="9" t="s">
        <v>24</v>
      </c>
      <c r="J229" s="9" t="s">
        <v>49</v>
      </c>
      <c r="K229"/>
      <c r="U229"/>
      <c r="V229"/>
    </row>
    <row r="230" spans="1:22" ht="18" hidden="1">
      <c r="A230" s="9">
        <f>IF(Table1[[#This Row],[کد کوپ]]&lt;1,0,A229+1)</f>
        <v>229</v>
      </c>
      <c r="B230" s="9">
        <v>4506</v>
      </c>
      <c r="C230" s="10">
        <v>45385</v>
      </c>
      <c r="D230" s="11">
        <v>12.4</v>
      </c>
      <c r="E230" s="12">
        <v>2.95</v>
      </c>
      <c r="F230" s="12">
        <v>1.55</v>
      </c>
      <c r="G230" s="12">
        <v>0.9</v>
      </c>
      <c r="H230" s="9" t="s">
        <v>23</v>
      </c>
      <c r="I230" s="9" t="s">
        <v>24</v>
      </c>
      <c r="J230" s="9" t="s">
        <v>49</v>
      </c>
      <c r="K230"/>
      <c r="U230"/>
      <c r="V230"/>
    </row>
    <row r="231" spans="1:22" ht="18" hidden="1">
      <c r="A231" s="9">
        <f>IF(Table1[[#This Row],[کد کوپ]]&lt;1,0,A230+1)</f>
        <v>230</v>
      </c>
      <c r="B231" s="9">
        <v>4507</v>
      </c>
      <c r="C231" s="10">
        <v>45385</v>
      </c>
      <c r="D231" s="11">
        <v>20</v>
      </c>
      <c r="E231" s="12">
        <v>3.2</v>
      </c>
      <c r="F231" s="12">
        <v>1.8</v>
      </c>
      <c r="G231" s="12">
        <v>1.3</v>
      </c>
      <c r="H231" s="9" t="s">
        <v>23</v>
      </c>
      <c r="I231" s="9" t="s">
        <v>24</v>
      </c>
      <c r="J231" s="9" t="s">
        <v>49</v>
      </c>
      <c r="K231"/>
      <c r="U231"/>
      <c r="V231"/>
    </row>
    <row r="232" spans="1:22" ht="18" hidden="1">
      <c r="A232" s="9">
        <f>IF(Table1[[#This Row],[کد کوپ]]&lt;1,0,A231+1)</f>
        <v>231</v>
      </c>
      <c r="B232" s="9">
        <v>4508</v>
      </c>
      <c r="C232" s="10">
        <v>45385</v>
      </c>
      <c r="D232" s="11">
        <v>6.2</v>
      </c>
      <c r="E232" s="12">
        <v>2.2000000000000002</v>
      </c>
      <c r="F232" s="12">
        <v>1.45</v>
      </c>
      <c r="G232" s="12">
        <v>0.6</v>
      </c>
      <c r="H232" s="9" t="s">
        <v>23</v>
      </c>
      <c r="I232" s="9" t="s">
        <v>24</v>
      </c>
      <c r="J232" s="9" t="s">
        <v>49</v>
      </c>
      <c r="K232"/>
      <c r="U232"/>
      <c r="V232"/>
    </row>
    <row r="233" spans="1:22" ht="18" hidden="1">
      <c r="A233" s="9">
        <f>IF(Table1[[#This Row],[کد کوپ]]&lt;1,0,A232+1)</f>
        <v>232</v>
      </c>
      <c r="B233" s="9">
        <v>4509</v>
      </c>
      <c r="C233" s="10">
        <v>45385</v>
      </c>
      <c r="D233" s="11">
        <v>10.7</v>
      </c>
      <c r="E233" s="12">
        <v>3</v>
      </c>
      <c r="F233" s="12">
        <v>1.9</v>
      </c>
      <c r="G233" s="12">
        <v>0.67</v>
      </c>
      <c r="H233" s="9" t="s">
        <v>23</v>
      </c>
      <c r="I233" s="9" t="s">
        <v>24</v>
      </c>
      <c r="J233" s="9" t="s">
        <v>49</v>
      </c>
      <c r="K233"/>
      <c r="U233"/>
      <c r="V233"/>
    </row>
    <row r="234" spans="1:22" ht="18" hidden="1">
      <c r="A234" s="9">
        <f>IF(Table1[[#This Row],[کد کوپ]]&lt;1,0,A233+1)</f>
        <v>233</v>
      </c>
      <c r="B234" s="9">
        <v>4510</v>
      </c>
      <c r="C234" s="10">
        <v>45385</v>
      </c>
      <c r="D234" s="11">
        <v>10.15</v>
      </c>
      <c r="E234" s="12">
        <v>2.35</v>
      </c>
      <c r="F234" s="12">
        <v>1.75</v>
      </c>
      <c r="G234" s="12">
        <v>0.85</v>
      </c>
      <c r="H234" s="9" t="s">
        <v>23</v>
      </c>
      <c r="I234" s="9" t="s">
        <v>24</v>
      </c>
      <c r="J234" s="9" t="s">
        <v>49</v>
      </c>
      <c r="K234"/>
      <c r="U234"/>
      <c r="V234"/>
    </row>
    <row r="235" spans="1:22" ht="18" hidden="1">
      <c r="A235" s="9">
        <f>IF(Table1[[#This Row],[کد کوپ]]&lt;1,0,A234+1)</f>
        <v>234</v>
      </c>
      <c r="B235" s="9">
        <v>4511</v>
      </c>
      <c r="C235" s="10">
        <v>45385</v>
      </c>
      <c r="D235" s="11">
        <v>20.7</v>
      </c>
      <c r="E235" s="12">
        <v>2.5</v>
      </c>
      <c r="F235" s="12">
        <v>1.83</v>
      </c>
      <c r="G235" s="12">
        <v>1.7</v>
      </c>
      <c r="H235" s="9" t="s">
        <v>9</v>
      </c>
      <c r="I235" s="9" t="s">
        <v>10</v>
      </c>
      <c r="J235" s="9" t="s">
        <v>11</v>
      </c>
      <c r="K235"/>
      <c r="U235"/>
      <c r="V235"/>
    </row>
    <row r="236" spans="1:22" ht="18" hidden="1">
      <c r="A236" s="9">
        <f>IF(Table1[[#This Row],[کد کوپ]]&lt;1,0,A235+1)</f>
        <v>235</v>
      </c>
      <c r="B236" s="9">
        <v>4512</v>
      </c>
      <c r="C236" s="10">
        <v>45385</v>
      </c>
      <c r="D236" s="11">
        <v>14.75</v>
      </c>
      <c r="E236" s="12">
        <v>2.1</v>
      </c>
      <c r="F236" s="12">
        <v>1.73</v>
      </c>
      <c r="G236" s="12">
        <v>1.65</v>
      </c>
      <c r="H236" s="9" t="s">
        <v>9</v>
      </c>
      <c r="I236" s="9" t="s">
        <v>10</v>
      </c>
      <c r="J236" s="9" t="s">
        <v>11</v>
      </c>
      <c r="K236"/>
      <c r="U236"/>
      <c r="V236"/>
    </row>
    <row r="237" spans="1:22" ht="18" hidden="1">
      <c r="A237" s="9">
        <f>IF(Table1[[#This Row],[کد کوپ]]&lt;1,0,A236+1)</f>
        <v>236</v>
      </c>
      <c r="B237" s="9">
        <v>4513</v>
      </c>
      <c r="C237" s="10">
        <v>45385</v>
      </c>
      <c r="D237" s="11">
        <v>11.25</v>
      </c>
      <c r="E237" s="12">
        <v>1.75</v>
      </c>
      <c r="F237" s="12">
        <v>1.85</v>
      </c>
      <c r="G237" s="12">
        <v>1.4</v>
      </c>
      <c r="H237" s="9" t="s">
        <v>9</v>
      </c>
      <c r="I237" s="9" t="s">
        <v>10</v>
      </c>
      <c r="J237" s="9" t="s">
        <v>11</v>
      </c>
      <c r="K237"/>
      <c r="U237"/>
      <c r="V237"/>
    </row>
    <row r="238" spans="1:22" ht="18" hidden="1">
      <c r="A238" s="9">
        <f>IF(Table1[[#This Row],[کد کوپ]]&lt;1,0,A237+1)</f>
        <v>237</v>
      </c>
      <c r="B238" s="9">
        <v>4514</v>
      </c>
      <c r="C238" s="10">
        <v>45385</v>
      </c>
      <c r="D238" s="11">
        <v>18.46</v>
      </c>
      <c r="E238" s="12">
        <v>2.73</v>
      </c>
      <c r="F238" s="12">
        <v>1.4</v>
      </c>
      <c r="G238" s="12">
        <v>1.9</v>
      </c>
      <c r="H238" s="9" t="s">
        <v>23</v>
      </c>
      <c r="I238" s="9" t="s">
        <v>24</v>
      </c>
      <c r="J238" s="9"/>
      <c r="K238"/>
      <c r="U238"/>
      <c r="V238"/>
    </row>
    <row r="239" spans="1:22" ht="18" hidden="1">
      <c r="A239" s="9">
        <f>IF(Table1[[#This Row],[کد کوپ]]&lt;1,0,A238+1)</f>
        <v>238</v>
      </c>
      <c r="B239" s="9">
        <v>4515</v>
      </c>
      <c r="C239" s="10">
        <v>45385</v>
      </c>
      <c r="D239" s="11">
        <v>8.98</v>
      </c>
      <c r="E239" s="12">
        <v>2.7</v>
      </c>
      <c r="F239" s="12">
        <v>1.8</v>
      </c>
      <c r="G239" s="12">
        <v>0.8</v>
      </c>
      <c r="H239" s="9" t="s">
        <v>23</v>
      </c>
      <c r="I239" s="9" t="s">
        <v>24</v>
      </c>
      <c r="J239" s="9"/>
      <c r="K239"/>
      <c r="U239"/>
      <c r="V239"/>
    </row>
    <row r="240" spans="1:22" ht="18" hidden="1">
      <c r="A240" s="9">
        <f>IF(Table1[[#This Row],[کد کوپ]]&lt;1,0,A239+1)</f>
        <v>239</v>
      </c>
      <c r="B240" s="9">
        <v>4516</v>
      </c>
      <c r="C240" s="10">
        <v>45386</v>
      </c>
      <c r="D240" s="11">
        <v>18.5</v>
      </c>
      <c r="E240" s="12">
        <v>2.6</v>
      </c>
      <c r="F240" s="12">
        <v>1.65</v>
      </c>
      <c r="G240" s="12">
        <v>1.6</v>
      </c>
      <c r="H240" s="9" t="s">
        <v>9</v>
      </c>
      <c r="I240" s="9" t="s">
        <v>10</v>
      </c>
      <c r="J240" s="9" t="s">
        <v>11</v>
      </c>
      <c r="K240"/>
      <c r="U240"/>
      <c r="V240"/>
    </row>
    <row r="241" spans="1:22" ht="18" hidden="1">
      <c r="A241" s="9">
        <f>IF(Table1[[#This Row],[کد کوپ]]&lt;1,0,A240+1)</f>
        <v>240</v>
      </c>
      <c r="B241" s="9">
        <v>4517</v>
      </c>
      <c r="C241" s="10">
        <v>45386</v>
      </c>
      <c r="D241" s="11">
        <v>20.7</v>
      </c>
      <c r="E241" s="12">
        <v>2.95</v>
      </c>
      <c r="F241" s="12">
        <v>1.95</v>
      </c>
      <c r="G241" s="12">
        <v>1.35</v>
      </c>
      <c r="H241" s="9" t="s">
        <v>23</v>
      </c>
      <c r="I241" s="9" t="s">
        <v>24</v>
      </c>
      <c r="J241" s="9" t="s">
        <v>49</v>
      </c>
      <c r="K241"/>
      <c r="U241"/>
      <c r="V241"/>
    </row>
    <row r="242" spans="1:22" ht="18" hidden="1">
      <c r="A242" s="9">
        <f>IF(Table1[[#This Row],[کد کوپ]]&lt;1,0,A241+1)</f>
        <v>241</v>
      </c>
      <c r="B242" s="9">
        <v>4518</v>
      </c>
      <c r="C242" s="10">
        <v>45386</v>
      </c>
      <c r="D242" s="11">
        <v>17.920000000000002</v>
      </c>
      <c r="E242" s="12">
        <v>2.15</v>
      </c>
      <c r="F242" s="12">
        <v>1.75</v>
      </c>
      <c r="G242" s="12">
        <v>1.65</v>
      </c>
      <c r="H242" s="9" t="s">
        <v>9</v>
      </c>
      <c r="I242" s="9" t="s">
        <v>10</v>
      </c>
      <c r="J242" s="9" t="s">
        <v>11</v>
      </c>
      <c r="K242"/>
      <c r="U242"/>
      <c r="V242"/>
    </row>
    <row r="243" spans="1:22" ht="18" hidden="1">
      <c r="A243" s="9">
        <f>IF(Table1[[#This Row],[کد کوپ]]&lt;1,0,A242+1)</f>
        <v>242</v>
      </c>
      <c r="B243" s="9">
        <v>4519</v>
      </c>
      <c r="C243" s="10">
        <v>45387</v>
      </c>
      <c r="D243" s="11">
        <v>16.100000000000001</v>
      </c>
      <c r="E243" s="12">
        <v>2.0299999999999998</v>
      </c>
      <c r="F243" s="12">
        <v>1.75</v>
      </c>
      <c r="G243" s="12">
        <v>1.68</v>
      </c>
      <c r="H243" s="9" t="s">
        <v>9</v>
      </c>
      <c r="I243" s="9" t="s">
        <v>10</v>
      </c>
      <c r="J243" s="9" t="s">
        <v>11</v>
      </c>
      <c r="K243"/>
      <c r="U243"/>
      <c r="V243"/>
    </row>
    <row r="244" spans="1:22" ht="18" hidden="1">
      <c r="A244" s="9">
        <f>IF(Table1[[#This Row],[کد کوپ]]&lt;1,0,A243+1)</f>
        <v>243</v>
      </c>
      <c r="B244" s="9">
        <v>4520</v>
      </c>
      <c r="C244" s="10">
        <v>45388</v>
      </c>
      <c r="D244" s="11">
        <v>15.26</v>
      </c>
      <c r="E244" s="12">
        <v>2</v>
      </c>
      <c r="F244" s="12">
        <v>1.9</v>
      </c>
      <c r="G244" s="12">
        <v>1.45</v>
      </c>
      <c r="H244" s="9" t="s">
        <v>9</v>
      </c>
      <c r="I244" s="9" t="s">
        <v>10</v>
      </c>
      <c r="J244" s="9" t="s">
        <v>11</v>
      </c>
      <c r="K244"/>
      <c r="U244"/>
      <c r="V244"/>
    </row>
    <row r="245" spans="1:22" ht="18" hidden="1">
      <c r="A245" s="9">
        <f>IF(Table1[[#This Row],[کد کوپ]]&lt;1,0,A244+1)</f>
        <v>244</v>
      </c>
      <c r="B245" s="9">
        <v>4521</v>
      </c>
      <c r="C245" s="10">
        <v>45389</v>
      </c>
      <c r="D245" s="11">
        <v>18.350000000000001</v>
      </c>
      <c r="E245" s="12">
        <v>2.0499999999999998</v>
      </c>
      <c r="F245" s="12">
        <v>1.85</v>
      </c>
      <c r="G245" s="12">
        <v>1.75</v>
      </c>
      <c r="H245" s="9" t="s">
        <v>9</v>
      </c>
      <c r="I245" s="9" t="s">
        <v>10</v>
      </c>
      <c r="J245" s="9" t="s">
        <v>11</v>
      </c>
      <c r="K245"/>
      <c r="U245"/>
      <c r="V245"/>
    </row>
    <row r="246" spans="1:22" ht="18" hidden="1">
      <c r="A246" s="9">
        <f>IF(Table1[[#This Row],[کد کوپ]]&lt;1,0,A245+1)</f>
        <v>245</v>
      </c>
      <c r="B246" s="9">
        <v>4522</v>
      </c>
      <c r="C246" s="10">
        <v>45393</v>
      </c>
      <c r="D246" s="11">
        <v>22.45</v>
      </c>
      <c r="E246" s="12">
        <v>2.5</v>
      </c>
      <c r="F246" s="12">
        <v>1.95</v>
      </c>
      <c r="G246" s="12">
        <v>1.67</v>
      </c>
      <c r="H246" s="9" t="s">
        <v>9</v>
      </c>
      <c r="I246" s="9" t="s">
        <v>10</v>
      </c>
      <c r="J246" s="9" t="s">
        <v>11</v>
      </c>
      <c r="K246"/>
      <c r="U246"/>
      <c r="V246"/>
    </row>
    <row r="247" spans="1:22" ht="18" hidden="1">
      <c r="A247" s="9">
        <f>IF(Table1[[#This Row],[کد کوپ]]&lt;1,0,A246+1)</f>
        <v>246</v>
      </c>
      <c r="B247" s="9">
        <v>4523</v>
      </c>
      <c r="C247" s="10">
        <v>45394</v>
      </c>
      <c r="D247" s="11">
        <v>20.96</v>
      </c>
      <c r="E247" s="12">
        <v>2.1800000000000002</v>
      </c>
      <c r="F247" s="12">
        <v>1.94</v>
      </c>
      <c r="G247" s="12">
        <v>1.83</v>
      </c>
      <c r="H247" s="9" t="s">
        <v>9</v>
      </c>
      <c r="I247" s="9" t="s">
        <v>10</v>
      </c>
      <c r="J247" s="9" t="s">
        <v>11</v>
      </c>
      <c r="K247"/>
      <c r="U247"/>
      <c r="V247"/>
    </row>
    <row r="248" spans="1:22" ht="18" hidden="1">
      <c r="A248" s="9">
        <f>IF(Table1[[#This Row],[کد کوپ]]&lt;1,0,A247+1)</f>
        <v>247</v>
      </c>
      <c r="B248" s="9">
        <v>4524</v>
      </c>
      <c r="C248" s="10">
        <v>45394</v>
      </c>
      <c r="D248" s="11">
        <v>19.77</v>
      </c>
      <c r="E248" s="12">
        <v>2.0699999999999998</v>
      </c>
      <c r="F248" s="12">
        <v>1.85</v>
      </c>
      <c r="G248" s="12">
        <v>1.85</v>
      </c>
      <c r="H248" s="9" t="s">
        <v>9</v>
      </c>
      <c r="I248" s="9" t="s">
        <v>10</v>
      </c>
      <c r="J248" s="9" t="s">
        <v>11</v>
      </c>
      <c r="K248"/>
      <c r="U248"/>
      <c r="V248"/>
    </row>
    <row r="249" spans="1:22" ht="18" hidden="1">
      <c r="A249" s="9">
        <f>IF(Table1[[#This Row],[کد کوپ]]&lt;1,0,A248+1)</f>
        <v>248</v>
      </c>
      <c r="B249" s="9">
        <v>4525</v>
      </c>
      <c r="C249" s="10">
        <v>45398</v>
      </c>
      <c r="D249" s="11">
        <v>15.04</v>
      </c>
      <c r="E249" s="12">
        <v>2.95</v>
      </c>
      <c r="F249" s="12">
        <v>1.9</v>
      </c>
      <c r="G249" s="12">
        <v>1.05</v>
      </c>
      <c r="H249" s="9" t="s">
        <v>23</v>
      </c>
      <c r="I249" s="9" t="s">
        <v>24</v>
      </c>
      <c r="J249" s="9" t="s">
        <v>33</v>
      </c>
      <c r="K249"/>
      <c r="U249"/>
      <c r="V249"/>
    </row>
    <row r="250" spans="1:22" ht="18" hidden="1">
      <c r="A250" s="9">
        <f>IF(Table1[[#This Row],[کد کوپ]]&lt;1,0,A249+1)</f>
        <v>249</v>
      </c>
      <c r="B250" s="9">
        <v>4526</v>
      </c>
      <c r="C250" s="10">
        <v>45398</v>
      </c>
      <c r="D250" s="11">
        <v>15.99</v>
      </c>
      <c r="E250" s="12">
        <v>1.85</v>
      </c>
      <c r="F250" s="12">
        <v>1.85</v>
      </c>
      <c r="G250" s="12">
        <v>1.65</v>
      </c>
      <c r="H250" s="9" t="s">
        <v>9</v>
      </c>
      <c r="I250" s="9" t="s">
        <v>10</v>
      </c>
      <c r="J250" s="9" t="s">
        <v>11</v>
      </c>
      <c r="K250"/>
      <c r="U250"/>
      <c r="V250"/>
    </row>
    <row r="251" spans="1:22" ht="18" hidden="1">
      <c r="A251" s="9">
        <f>IF(Table1[[#This Row],[کد کوپ]]&lt;1,0,A250+1)</f>
        <v>250</v>
      </c>
      <c r="B251" s="9">
        <v>4527</v>
      </c>
      <c r="C251" s="10">
        <v>45398</v>
      </c>
      <c r="D251" s="11">
        <v>10.52</v>
      </c>
      <c r="E251" s="12">
        <v>1.75</v>
      </c>
      <c r="F251" s="12">
        <v>1.8</v>
      </c>
      <c r="G251" s="12">
        <v>1.3</v>
      </c>
      <c r="H251" s="9" t="s">
        <v>9</v>
      </c>
      <c r="I251" s="9" t="s">
        <v>10</v>
      </c>
      <c r="J251" s="9" t="s">
        <v>11</v>
      </c>
      <c r="K251"/>
      <c r="U251"/>
      <c r="V251"/>
    </row>
    <row r="252" spans="1:22" ht="18" hidden="1">
      <c r="A252" s="9">
        <f>IF(Table1[[#This Row],[کد کوپ]]&lt;1,0,A251+1)</f>
        <v>251</v>
      </c>
      <c r="B252" s="9">
        <v>4528</v>
      </c>
      <c r="C252" s="10">
        <v>45410</v>
      </c>
      <c r="D252" s="11">
        <v>12.75</v>
      </c>
      <c r="E252" s="12">
        <v>2.9</v>
      </c>
      <c r="F252" s="12">
        <v>1.57</v>
      </c>
      <c r="G252" s="12">
        <v>1.1499999999999999</v>
      </c>
      <c r="H252" s="9" t="s">
        <v>50</v>
      </c>
      <c r="I252" s="9" t="s">
        <v>10</v>
      </c>
      <c r="J252" s="9" t="s">
        <v>51</v>
      </c>
      <c r="K252"/>
      <c r="U252"/>
      <c r="V252"/>
    </row>
    <row r="253" spans="1:22" ht="18" hidden="1">
      <c r="A253" s="9">
        <f>IF(Table1[[#This Row],[کد کوپ]]&lt;1,0,A252+1)</f>
        <v>252</v>
      </c>
      <c r="B253" s="9">
        <v>4529</v>
      </c>
      <c r="C253" s="10">
        <v>45410</v>
      </c>
      <c r="D253" s="11">
        <v>13.42</v>
      </c>
      <c r="E253" s="12">
        <v>2.8</v>
      </c>
      <c r="F253" s="12">
        <v>1.75</v>
      </c>
      <c r="G253" s="12">
        <v>1.1000000000000001</v>
      </c>
      <c r="H253" s="9" t="s">
        <v>50</v>
      </c>
      <c r="I253" s="9" t="s">
        <v>10</v>
      </c>
      <c r="J253" s="9" t="s">
        <v>51</v>
      </c>
      <c r="K253"/>
      <c r="U253"/>
      <c r="V253"/>
    </row>
    <row r="254" spans="1:22" ht="18" hidden="1">
      <c r="A254" s="9">
        <f>IF(Table1[[#This Row],[کد کوپ]]&lt;1,0,A253+1)</f>
        <v>253</v>
      </c>
      <c r="B254" s="9">
        <v>4530</v>
      </c>
      <c r="C254" s="10">
        <v>45410</v>
      </c>
      <c r="D254" s="11">
        <v>12.5</v>
      </c>
      <c r="E254" s="12">
        <v>2.95</v>
      </c>
      <c r="F254" s="12">
        <v>1.3</v>
      </c>
      <c r="G254" s="12">
        <v>1.2</v>
      </c>
      <c r="H254" s="9" t="s">
        <v>50</v>
      </c>
      <c r="I254" s="9" t="s">
        <v>10</v>
      </c>
      <c r="J254" s="9" t="s">
        <v>51</v>
      </c>
      <c r="K254"/>
      <c r="U254"/>
      <c r="V254"/>
    </row>
    <row r="255" spans="1:22" ht="18" hidden="1">
      <c r="A255" s="9">
        <f>IF(Table1[[#This Row],[کد کوپ]]&lt;1,0,A254+1)</f>
        <v>254</v>
      </c>
      <c r="B255" s="9">
        <v>4531</v>
      </c>
      <c r="C255" s="10">
        <v>45410</v>
      </c>
      <c r="D255" s="11">
        <v>14.5</v>
      </c>
      <c r="E255" s="12">
        <v>2.4500000000000002</v>
      </c>
      <c r="F255" s="12">
        <v>1.7</v>
      </c>
      <c r="G255" s="12">
        <v>1.4</v>
      </c>
      <c r="H255" s="9" t="s">
        <v>50</v>
      </c>
      <c r="I255" s="9" t="s">
        <v>10</v>
      </c>
      <c r="J255" s="9" t="s">
        <v>51</v>
      </c>
      <c r="K255"/>
      <c r="U255"/>
      <c r="V255"/>
    </row>
    <row r="256" spans="1:22" ht="18" hidden="1">
      <c r="A256" s="9">
        <f>IF(Table1[[#This Row],[کد کوپ]]&lt;1,0,A255+1)</f>
        <v>255</v>
      </c>
      <c r="B256" s="9">
        <v>4532</v>
      </c>
      <c r="C256" s="10">
        <v>45410</v>
      </c>
      <c r="D256" s="11">
        <v>3.6</v>
      </c>
      <c r="E256" s="12">
        <v>1.1499999999999999</v>
      </c>
      <c r="F256" s="12">
        <v>1.05</v>
      </c>
      <c r="G256" s="12">
        <v>0.8</v>
      </c>
      <c r="H256" s="9" t="s">
        <v>23</v>
      </c>
      <c r="I256" s="9" t="s">
        <v>24</v>
      </c>
      <c r="J256" s="9" t="s">
        <v>29</v>
      </c>
      <c r="K256"/>
      <c r="U256"/>
      <c r="V256"/>
    </row>
    <row r="257" spans="1:22" ht="18" hidden="1">
      <c r="A257" s="9">
        <f>IF(Table1[[#This Row],[کد کوپ]]&lt;1,0,A256+1)</f>
        <v>256</v>
      </c>
      <c r="B257" s="9">
        <v>4533</v>
      </c>
      <c r="C257" s="10">
        <v>45410</v>
      </c>
      <c r="D257" s="11">
        <v>10.1</v>
      </c>
      <c r="E257" s="12">
        <v>3</v>
      </c>
      <c r="F257" s="12">
        <v>1.7</v>
      </c>
      <c r="G257" s="12">
        <v>0.7</v>
      </c>
      <c r="H257" s="9" t="s">
        <v>23</v>
      </c>
      <c r="I257" s="9" t="s">
        <v>24</v>
      </c>
      <c r="J257" s="9" t="s">
        <v>29</v>
      </c>
      <c r="K257"/>
      <c r="U257"/>
      <c r="V257"/>
    </row>
    <row r="258" spans="1:22" ht="18" hidden="1">
      <c r="A258" s="9">
        <f>IF(Table1[[#This Row],[کد کوپ]]&lt;1,0,A257+1)</f>
        <v>257</v>
      </c>
      <c r="B258" s="9">
        <v>4534</v>
      </c>
      <c r="C258" s="10">
        <v>45410</v>
      </c>
      <c r="D258" s="11">
        <f>14.75-1.9</f>
        <v>12.85</v>
      </c>
      <c r="E258" s="12">
        <v>3.85</v>
      </c>
      <c r="F258" s="12">
        <v>1.95</v>
      </c>
      <c r="G258" s="12">
        <v>0.85</v>
      </c>
      <c r="H258" s="9" t="s">
        <v>23</v>
      </c>
      <c r="I258" s="9" t="s">
        <v>24</v>
      </c>
      <c r="J258" s="9" t="s">
        <v>29</v>
      </c>
      <c r="K258"/>
      <c r="U258"/>
      <c r="V258"/>
    </row>
    <row r="259" spans="1:22" ht="18">
      <c r="A259" s="9">
        <f>IF(Table1[[#This Row],[کد کوپ]]&lt;1,0,A258+1)</f>
        <v>258</v>
      </c>
      <c r="B259" s="9">
        <v>4535</v>
      </c>
      <c r="C259" s="10">
        <v>45412</v>
      </c>
      <c r="D259" s="11">
        <v>17.5</v>
      </c>
      <c r="E259" s="12">
        <v>2.25</v>
      </c>
      <c r="F259" s="12">
        <v>1.94</v>
      </c>
      <c r="G259" s="12">
        <v>1.4</v>
      </c>
      <c r="H259" s="9" t="s">
        <v>23</v>
      </c>
      <c r="I259" s="9" t="s">
        <v>27</v>
      </c>
      <c r="J259" s="9" t="s">
        <v>25</v>
      </c>
      <c r="K259"/>
      <c r="U259"/>
      <c r="V259"/>
    </row>
    <row r="260" spans="1:22" ht="18" hidden="1">
      <c r="A260" s="9">
        <f>IF(Table1[[#This Row],[کد کوپ]]&lt;1,0,A259+1)</f>
        <v>259</v>
      </c>
      <c r="B260" s="9">
        <v>4536</v>
      </c>
      <c r="C260" s="10">
        <v>45414</v>
      </c>
      <c r="D260" s="11">
        <v>19.100000000000001</v>
      </c>
      <c r="E260" s="12">
        <v>2.4</v>
      </c>
      <c r="F260" s="12">
        <v>1.85</v>
      </c>
      <c r="G260" s="12">
        <v>1.55</v>
      </c>
      <c r="H260" s="9" t="s">
        <v>9</v>
      </c>
      <c r="I260" s="9" t="s">
        <v>10</v>
      </c>
      <c r="J260" s="9" t="s">
        <v>11</v>
      </c>
      <c r="K260"/>
      <c r="U260"/>
      <c r="V260"/>
    </row>
    <row r="261" spans="1:22" ht="18" hidden="1">
      <c r="A261" s="9">
        <f>IF(Table1[[#This Row],[کد کوپ]]&lt;1,0,A260+1)</f>
        <v>260</v>
      </c>
      <c r="B261" s="9">
        <v>4537</v>
      </c>
      <c r="C261" s="10">
        <v>45414</v>
      </c>
      <c r="D261" s="11">
        <v>11.9</v>
      </c>
      <c r="E261" s="12">
        <v>2.1</v>
      </c>
      <c r="F261" s="12">
        <v>2</v>
      </c>
      <c r="G261" s="12">
        <v>1.1000000000000001</v>
      </c>
      <c r="H261" s="9" t="s">
        <v>52</v>
      </c>
      <c r="I261" s="9" t="s">
        <v>10</v>
      </c>
      <c r="J261" s="9" t="s">
        <v>53</v>
      </c>
      <c r="K261"/>
      <c r="U261"/>
      <c r="V261"/>
    </row>
    <row r="262" spans="1:22" ht="18" hidden="1">
      <c r="A262" s="9">
        <f>IF(Table1[[#This Row],[کد کوپ]]&lt;1,0,A261+1)</f>
        <v>261</v>
      </c>
      <c r="B262" s="9">
        <v>4538</v>
      </c>
      <c r="C262" s="10">
        <v>45414</v>
      </c>
      <c r="D262" s="11">
        <v>10.4</v>
      </c>
      <c r="E262" s="12">
        <v>3</v>
      </c>
      <c r="F262" s="12">
        <v>1.67</v>
      </c>
      <c r="G262" s="12">
        <v>0.8</v>
      </c>
      <c r="H262" s="9" t="s">
        <v>52</v>
      </c>
      <c r="I262" s="9" t="s">
        <v>10</v>
      </c>
      <c r="J262" s="9" t="s">
        <v>53</v>
      </c>
      <c r="K262"/>
      <c r="U262"/>
      <c r="V262"/>
    </row>
    <row r="263" spans="1:22" ht="18" hidden="1">
      <c r="A263" s="9">
        <f>IF(Table1[[#This Row],[کد کوپ]]&lt;1,0,A262+1)</f>
        <v>262</v>
      </c>
      <c r="B263" s="9">
        <v>4539</v>
      </c>
      <c r="C263" s="10">
        <v>45414</v>
      </c>
      <c r="D263" s="11">
        <v>11.3</v>
      </c>
      <c r="E263" s="12">
        <v>1.8</v>
      </c>
      <c r="F263" s="12">
        <v>1.65</v>
      </c>
      <c r="G263" s="12">
        <v>1.38</v>
      </c>
      <c r="H263" s="9" t="s">
        <v>9</v>
      </c>
      <c r="I263" s="9" t="s">
        <v>10</v>
      </c>
      <c r="J263" s="9" t="s">
        <v>11</v>
      </c>
      <c r="K263"/>
      <c r="U263"/>
      <c r="V263"/>
    </row>
    <row r="264" spans="1:22" ht="18" hidden="1">
      <c r="A264" s="9">
        <f>IF(Table1[[#This Row],[کد کوپ]]&lt;1,0,A263+1)</f>
        <v>263</v>
      </c>
      <c r="B264" s="9">
        <v>4540</v>
      </c>
      <c r="C264" s="10">
        <v>45414</v>
      </c>
      <c r="D264" s="11">
        <v>11.2</v>
      </c>
      <c r="E264" s="12">
        <v>1.8</v>
      </c>
      <c r="F264" s="12">
        <v>1.6</v>
      </c>
      <c r="G264" s="12">
        <v>1.4</v>
      </c>
      <c r="H264" s="9" t="s">
        <v>9</v>
      </c>
      <c r="I264" s="9" t="s">
        <v>10</v>
      </c>
      <c r="J264" s="9" t="s">
        <v>11</v>
      </c>
      <c r="K264"/>
      <c r="U264"/>
      <c r="V264"/>
    </row>
    <row r="265" spans="1:22" ht="18" hidden="1">
      <c r="A265" s="9">
        <f>IF(Table1[[#This Row],[کد کوپ]]&lt;1,0,A264+1)</f>
        <v>264</v>
      </c>
      <c r="B265" s="9">
        <v>4541</v>
      </c>
      <c r="C265" s="10">
        <v>45415</v>
      </c>
      <c r="D265" s="11">
        <v>23.01</v>
      </c>
      <c r="E265" s="12">
        <v>2.9</v>
      </c>
      <c r="F265" s="12">
        <v>1.7</v>
      </c>
      <c r="G265" s="12">
        <v>1.7</v>
      </c>
      <c r="H265" s="9" t="s">
        <v>9</v>
      </c>
      <c r="I265" s="9" t="s">
        <v>10</v>
      </c>
      <c r="J265" s="9" t="s">
        <v>11</v>
      </c>
      <c r="K265"/>
      <c r="U265"/>
      <c r="V265"/>
    </row>
    <row r="266" spans="1:22" ht="18" hidden="1">
      <c r="A266" s="9">
        <f>IF(Table1[[#This Row],[کد کوپ]]&lt;1,0,A265+1)</f>
        <v>265</v>
      </c>
      <c r="B266" s="9">
        <v>4542</v>
      </c>
      <c r="C266" s="10">
        <v>45416</v>
      </c>
      <c r="D266" s="11">
        <v>26.2</v>
      </c>
      <c r="E266" s="12">
        <v>2.9</v>
      </c>
      <c r="F266" s="12">
        <v>2</v>
      </c>
      <c r="G266" s="12">
        <v>1.75</v>
      </c>
      <c r="H266" s="9" t="s">
        <v>9</v>
      </c>
      <c r="I266" s="9" t="s">
        <v>10</v>
      </c>
      <c r="J266" s="9" t="s">
        <v>11</v>
      </c>
      <c r="K266"/>
      <c r="U266"/>
      <c r="V266"/>
    </row>
    <row r="267" spans="1:22" ht="18" hidden="1">
      <c r="A267" s="9">
        <f>IF(Table1[[#This Row],[کد کوپ]]&lt;1,0,A266+1)</f>
        <v>266</v>
      </c>
      <c r="B267" s="9">
        <v>4543</v>
      </c>
      <c r="C267" s="10">
        <v>45418</v>
      </c>
      <c r="D267" s="11">
        <v>29.53</v>
      </c>
      <c r="E267" s="12">
        <v>3</v>
      </c>
      <c r="F267" s="12">
        <v>1.85</v>
      </c>
      <c r="G267" s="12">
        <v>1.97</v>
      </c>
      <c r="H267" s="9" t="s">
        <v>9</v>
      </c>
      <c r="I267" s="9" t="s">
        <v>10</v>
      </c>
      <c r="J267" s="9" t="s">
        <v>11</v>
      </c>
      <c r="K267"/>
      <c r="U267"/>
      <c r="V267"/>
    </row>
    <row r="268" spans="1:22" ht="18" hidden="1">
      <c r="A268" s="9">
        <f>IF(Table1[[#This Row],[کد کوپ]]&lt;1,0,A267+1)</f>
        <v>267</v>
      </c>
      <c r="B268" s="9">
        <v>4544</v>
      </c>
      <c r="C268" s="10">
        <v>45418</v>
      </c>
      <c r="D268" s="11">
        <v>17.5</v>
      </c>
      <c r="E268" s="12">
        <v>2.9</v>
      </c>
      <c r="F268" s="12">
        <v>1.96</v>
      </c>
      <c r="G268" s="12">
        <v>1.2</v>
      </c>
      <c r="H268" s="9" t="s">
        <v>9</v>
      </c>
      <c r="I268" s="9" t="s">
        <v>10</v>
      </c>
      <c r="J268" s="9" t="s">
        <v>11</v>
      </c>
      <c r="K268"/>
      <c r="U268"/>
      <c r="V268"/>
    </row>
    <row r="269" spans="1:22" ht="18" hidden="1">
      <c r="A269" s="9">
        <f>IF(Table1[[#This Row],[کد کوپ]]&lt;1,0,A268+1)</f>
        <v>268</v>
      </c>
      <c r="B269" s="9">
        <v>4545</v>
      </c>
      <c r="C269" s="10">
        <v>45418</v>
      </c>
      <c r="D269" s="11">
        <v>17.86</v>
      </c>
      <c r="E269" s="12">
        <v>2.8</v>
      </c>
      <c r="F269" s="12">
        <v>1.95</v>
      </c>
      <c r="G269" s="12">
        <v>1.2</v>
      </c>
      <c r="H269" s="9" t="s">
        <v>9</v>
      </c>
      <c r="I269" s="9" t="s">
        <v>10</v>
      </c>
      <c r="J269" s="9" t="s">
        <v>11</v>
      </c>
      <c r="K269"/>
      <c r="U269"/>
      <c r="V269"/>
    </row>
    <row r="270" spans="1:22" ht="18" hidden="1">
      <c r="A270" s="9">
        <f>IF(Table1[[#This Row],[کد کوپ]]&lt;1,0,A269+1)</f>
        <v>269</v>
      </c>
      <c r="B270" s="9">
        <v>4546</v>
      </c>
      <c r="C270" s="10">
        <v>45418</v>
      </c>
      <c r="D270" s="11">
        <v>25.6</v>
      </c>
      <c r="E270" s="12">
        <v>2.78</v>
      </c>
      <c r="F270" s="12">
        <v>1.8</v>
      </c>
      <c r="G270" s="12">
        <v>1.75</v>
      </c>
      <c r="H270" s="9" t="s">
        <v>9</v>
      </c>
      <c r="I270" s="9" t="s">
        <v>10</v>
      </c>
      <c r="J270" s="9" t="s">
        <v>11</v>
      </c>
      <c r="K270"/>
      <c r="U270"/>
      <c r="V270"/>
    </row>
    <row r="271" spans="1:22" ht="18" hidden="1">
      <c r="A271" s="9">
        <f>IF(Table1[[#This Row],[کد کوپ]]&lt;1,0,A270+1)</f>
        <v>270</v>
      </c>
      <c r="B271" s="9">
        <v>4547</v>
      </c>
      <c r="C271" s="10">
        <v>45418</v>
      </c>
      <c r="D271" s="11">
        <v>18.899999999999999</v>
      </c>
      <c r="E271" s="12">
        <v>2</v>
      </c>
      <c r="F271" s="12">
        <v>1.85</v>
      </c>
      <c r="G271" s="12">
        <v>1.84</v>
      </c>
      <c r="H271" s="9" t="s">
        <v>9</v>
      </c>
      <c r="I271" s="9" t="s">
        <v>10</v>
      </c>
      <c r="J271" s="9" t="s">
        <v>11</v>
      </c>
      <c r="K271"/>
      <c r="U271"/>
      <c r="V271"/>
    </row>
    <row r="272" spans="1:22" ht="18" hidden="1">
      <c r="A272" s="9">
        <f>IF(Table1[[#This Row],[کد کوپ]]&lt;1,0,A271+1)</f>
        <v>271</v>
      </c>
      <c r="B272" s="9">
        <v>4548</v>
      </c>
      <c r="C272" s="10">
        <v>45420</v>
      </c>
      <c r="D272" s="11">
        <v>24.55</v>
      </c>
      <c r="E272" s="12">
        <v>3.1</v>
      </c>
      <c r="F272" s="12">
        <v>1.7</v>
      </c>
      <c r="G272" s="12">
        <v>1.7</v>
      </c>
      <c r="H272" s="9" t="s">
        <v>9</v>
      </c>
      <c r="I272" s="9" t="s">
        <v>10</v>
      </c>
      <c r="J272" s="9" t="s">
        <v>11</v>
      </c>
      <c r="K272"/>
      <c r="U272"/>
      <c r="V272"/>
    </row>
    <row r="273" spans="1:22" ht="18" hidden="1">
      <c r="A273" s="9">
        <f>IF(Table1[[#This Row],[کد کوپ]]&lt;1,0,A272+1)</f>
        <v>272</v>
      </c>
      <c r="B273" s="9">
        <v>4549</v>
      </c>
      <c r="C273" s="10">
        <v>45420</v>
      </c>
      <c r="D273" s="11">
        <v>19.2</v>
      </c>
      <c r="E273" s="12">
        <v>2.25</v>
      </c>
      <c r="F273" s="12">
        <v>1.8</v>
      </c>
      <c r="G273" s="12">
        <v>1.75</v>
      </c>
      <c r="H273" s="9" t="s">
        <v>9</v>
      </c>
      <c r="I273" s="9" t="s">
        <v>10</v>
      </c>
      <c r="J273" s="9" t="s">
        <v>11</v>
      </c>
      <c r="K273"/>
      <c r="U273"/>
      <c r="V273"/>
    </row>
    <row r="274" spans="1:22" ht="18" hidden="1">
      <c r="A274" s="9">
        <f>IF(Table1[[#This Row],[کد کوپ]]&lt;1,0,A273+1)</f>
        <v>273</v>
      </c>
      <c r="B274" s="9">
        <v>4550</v>
      </c>
      <c r="C274" s="10">
        <v>45420</v>
      </c>
      <c r="D274" s="11">
        <v>4.9000000000000004</v>
      </c>
      <c r="E274" s="12">
        <v>2.5</v>
      </c>
      <c r="F274" s="12">
        <v>1.95</v>
      </c>
      <c r="G274" s="12">
        <v>0.32</v>
      </c>
      <c r="H274" s="9" t="s">
        <v>23</v>
      </c>
      <c r="I274" s="9" t="s">
        <v>24</v>
      </c>
      <c r="J274" s="9" t="s">
        <v>25</v>
      </c>
      <c r="K274"/>
      <c r="U274"/>
      <c r="V274"/>
    </row>
    <row r="275" spans="1:22" ht="18" hidden="1">
      <c r="A275" s="9">
        <f>IF(Table1[[#This Row],[کد کوپ]]&lt;1,0,A274+1)</f>
        <v>274</v>
      </c>
      <c r="B275" s="9">
        <v>4551</v>
      </c>
      <c r="C275" s="10">
        <v>45420</v>
      </c>
      <c r="D275" s="11">
        <v>3.47</v>
      </c>
      <c r="E275" s="12">
        <v>2</v>
      </c>
      <c r="F275" s="12">
        <v>1.9</v>
      </c>
      <c r="G275" s="12">
        <v>0.3</v>
      </c>
      <c r="H275" s="9" t="s">
        <v>23</v>
      </c>
      <c r="I275" s="9" t="s">
        <v>24</v>
      </c>
      <c r="J275" s="9" t="s">
        <v>25</v>
      </c>
      <c r="K275"/>
      <c r="U275"/>
      <c r="V275"/>
    </row>
    <row r="276" spans="1:22" ht="18" hidden="1">
      <c r="A276" s="9">
        <f>IF(Table1[[#This Row],[کد کوپ]]&lt;1,0,A275+1)</f>
        <v>275</v>
      </c>
      <c r="B276" s="9">
        <v>4552</v>
      </c>
      <c r="C276" s="10">
        <v>45420</v>
      </c>
      <c r="D276" s="11">
        <v>4.55</v>
      </c>
      <c r="E276" s="12">
        <v>2.75</v>
      </c>
      <c r="F276" s="12">
        <v>2</v>
      </c>
      <c r="G276" s="12">
        <v>0.3</v>
      </c>
      <c r="H276" s="9" t="s">
        <v>23</v>
      </c>
      <c r="I276" s="9" t="s">
        <v>24</v>
      </c>
      <c r="J276" s="9" t="s">
        <v>25</v>
      </c>
      <c r="K276"/>
      <c r="U276"/>
      <c r="V276"/>
    </row>
    <row r="277" spans="1:22" ht="18" hidden="1">
      <c r="A277" s="9">
        <f>IF(Table1[[#This Row],[کد کوپ]]&lt;1,0,A276+1)</f>
        <v>276</v>
      </c>
      <c r="B277" s="9">
        <v>4553</v>
      </c>
      <c r="C277" s="10">
        <v>45420</v>
      </c>
      <c r="D277" s="11">
        <v>5.0599999999999996</v>
      </c>
      <c r="E277" s="12">
        <v>3.1</v>
      </c>
      <c r="F277" s="12">
        <v>1.6</v>
      </c>
      <c r="G277" s="12">
        <v>0.32</v>
      </c>
      <c r="H277" s="9" t="s">
        <v>23</v>
      </c>
      <c r="I277" s="9" t="s">
        <v>24</v>
      </c>
      <c r="J277" s="9" t="s">
        <v>25</v>
      </c>
      <c r="K277"/>
      <c r="U277"/>
      <c r="V277"/>
    </row>
    <row r="278" spans="1:22" ht="18" hidden="1">
      <c r="A278" s="9">
        <f>IF(Table1[[#This Row],[کد کوپ]]&lt;1,0,A277+1)</f>
        <v>277</v>
      </c>
      <c r="B278" s="9">
        <v>4554</v>
      </c>
      <c r="C278" s="10">
        <v>45420</v>
      </c>
      <c r="D278" s="11">
        <v>6.77</v>
      </c>
      <c r="E278" s="12">
        <v>3.14</v>
      </c>
      <c r="F278" s="12">
        <v>2.08</v>
      </c>
      <c r="G278" s="12">
        <v>0.36</v>
      </c>
      <c r="H278" s="9" t="s">
        <v>23</v>
      </c>
      <c r="I278" s="9" t="s">
        <v>24</v>
      </c>
      <c r="J278" s="9" t="s">
        <v>25</v>
      </c>
      <c r="K278"/>
      <c r="U278"/>
      <c r="V278"/>
    </row>
    <row r="279" spans="1:22" ht="18" hidden="1">
      <c r="A279" s="9">
        <f>IF(Table1[[#This Row],[کد کوپ]]&lt;1,0,A278+1)</f>
        <v>278</v>
      </c>
      <c r="B279" s="9">
        <v>4555</v>
      </c>
      <c r="C279" s="10">
        <v>45421</v>
      </c>
      <c r="D279" s="11">
        <v>24.08</v>
      </c>
      <c r="E279" s="12">
        <v>2.85</v>
      </c>
      <c r="F279" s="12">
        <v>1.74</v>
      </c>
      <c r="G279" s="12">
        <v>1.75</v>
      </c>
      <c r="H279" s="9" t="s">
        <v>9</v>
      </c>
      <c r="I279" s="9" t="s">
        <v>10</v>
      </c>
      <c r="J279" s="9" t="s">
        <v>11</v>
      </c>
      <c r="K279"/>
      <c r="U279"/>
      <c r="V279"/>
    </row>
    <row r="280" spans="1:22" ht="18" hidden="1">
      <c r="A280" s="9">
        <f>IF(Table1[[#This Row],[کد کوپ]]&lt;1,0,A279+1)</f>
        <v>279</v>
      </c>
      <c r="B280" s="9">
        <v>4556</v>
      </c>
      <c r="C280" s="10">
        <v>45422</v>
      </c>
      <c r="D280" s="11">
        <v>20.07</v>
      </c>
      <c r="E280" s="12">
        <v>2.4</v>
      </c>
      <c r="F280" s="12">
        <v>1.73</v>
      </c>
      <c r="G280" s="12">
        <v>1.7</v>
      </c>
      <c r="H280" s="9" t="s">
        <v>9</v>
      </c>
      <c r="I280" s="9" t="s">
        <v>10</v>
      </c>
      <c r="J280" s="9" t="s">
        <v>11</v>
      </c>
      <c r="K280"/>
      <c r="U280"/>
      <c r="V280"/>
    </row>
    <row r="281" spans="1:22" ht="18" hidden="1">
      <c r="A281" s="9">
        <f>IF(Table1[[#This Row],[کد کوپ]]&lt;1,0,A280+1)</f>
        <v>280</v>
      </c>
      <c r="B281" s="9">
        <v>4557</v>
      </c>
      <c r="C281" s="10">
        <v>45423</v>
      </c>
      <c r="D281" s="11">
        <v>27.9</v>
      </c>
      <c r="E281" s="12">
        <v>2.85</v>
      </c>
      <c r="F281" s="12">
        <v>1.9</v>
      </c>
      <c r="G281" s="12">
        <v>1.75</v>
      </c>
      <c r="H281" s="9" t="s">
        <v>9</v>
      </c>
      <c r="I281" s="9" t="s">
        <v>10</v>
      </c>
      <c r="J281" s="9" t="s">
        <v>11</v>
      </c>
      <c r="K281"/>
      <c r="U281"/>
      <c r="V281"/>
    </row>
    <row r="282" spans="1:22" ht="18" hidden="1">
      <c r="A282" s="9">
        <f>IF(Table1[[#This Row],[کد کوپ]]&lt;1,0,A281+1)</f>
        <v>281</v>
      </c>
      <c r="B282" s="9">
        <v>4558</v>
      </c>
      <c r="C282" s="10">
        <v>45423</v>
      </c>
      <c r="D282" s="11">
        <v>14.4</v>
      </c>
      <c r="E282" s="12">
        <v>2.75</v>
      </c>
      <c r="F282" s="12">
        <v>1.75</v>
      </c>
      <c r="G282" s="12">
        <v>1.1000000000000001</v>
      </c>
      <c r="H282" s="9" t="s">
        <v>9</v>
      </c>
      <c r="I282" s="9" t="s">
        <v>10</v>
      </c>
      <c r="J282" s="9" t="s">
        <v>11</v>
      </c>
      <c r="K282"/>
      <c r="U282"/>
      <c r="V282"/>
    </row>
    <row r="283" spans="1:22" ht="18" hidden="1">
      <c r="A283" s="9">
        <f>IF(Table1[[#This Row],[کد کوپ]]&lt;1,0,A282+1)</f>
        <v>282</v>
      </c>
      <c r="B283" s="9">
        <v>4559</v>
      </c>
      <c r="C283" s="10">
        <v>45423</v>
      </c>
      <c r="D283" s="11">
        <v>16.7</v>
      </c>
      <c r="E283" s="12">
        <v>2.7</v>
      </c>
      <c r="F283" s="12">
        <v>1.75</v>
      </c>
      <c r="G283" s="12">
        <v>1.25</v>
      </c>
      <c r="H283" s="9" t="s">
        <v>9</v>
      </c>
      <c r="I283" s="9" t="s">
        <v>10</v>
      </c>
      <c r="J283" s="9" t="s">
        <v>11</v>
      </c>
      <c r="K283"/>
      <c r="U283"/>
      <c r="V283"/>
    </row>
    <row r="284" spans="1:22" ht="18" hidden="1">
      <c r="A284" s="9">
        <f>IF(Table1[[#This Row],[کد کوپ]]&lt;1,0,A283+1)</f>
        <v>283</v>
      </c>
      <c r="B284" s="9">
        <v>4560</v>
      </c>
      <c r="C284" s="10">
        <v>45423</v>
      </c>
      <c r="D284" s="11">
        <v>22.5</v>
      </c>
      <c r="E284" s="12">
        <v>2.85</v>
      </c>
      <c r="F284" s="12">
        <v>1.7</v>
      </c>
      <c r="G284" s="12">
        <v>1.65</v>
      </c>
      <c r="H284" s="9" t="s">
        <v>9</v>
      </c>
      <c r="I284" s="9" t="s">
        <v>10</v>
      </c>
      <c r="J284" s="9" t="s">
        <v>11</v>
      </c>
      <c r="K284"/>
      <c r="U284"/>
      <c r="V284"/>
    </row>
    <row r="285" spans="1:22" ht="18" hidden="1">
      <c r="A285" s="9">
        <f>IF(Table1[[#This Row],[کد کوپ]]&lt;1,0,A284+1)</f>
        <v>284</v>
      </c>
      <c r="B285" s="9">
        <v>4561</v>
      </c>
      <c r="C285" s="10">
        <v>45423</v>
      </c>
      <c r="D285" s="11">
        <v>21.8</v>
      </c>
      <c r="E285" s="12">
        <v>2.8</v>
      </c>
      <c r="F285" s="12">
        <v>1.85</v>
      </c>
      <c r="G285" s="12">
        <v>1.5</v>
      </c>
      <c r="H285" s="9" t="s">
        <v>9</v>
      </c>
      <c r="I285" s="9" t="s">
        <v>10</v>
      </c>
      <c r="J285" s="9" t="s">
        <v>11</v>
      </c>
      <c r="K285"/>
      <c r="U285"/>
      <c r="V285"/>
    </row>
    <row r="286" spans="1:22" ht="18" hidden="1">
      <c r="A286" s="9">
        <f>IF(Table1[[#This Row],[کد کوپ]]&lt;1,0,A285+1)</f>
        <v>285</v>
      </c>
      <c r="B286" s="9">
        <v>4562</v>
      </c>
      <c r="C286" s="10">
        <v>45424</v>
      </c>
      <c r="D286" s="11">
        <v>30</v>
      </c>
      <c r="E286" s="12">
        <v>3.1</v>
      </c>
      <c r="F286" s="12">
        <v>1.9</v>
      </c>
      <c r="G286" s="12">
        <v>1.85</v>
      </c>
      <c r="H286" s="9" t="s">
        <v>9</v>
      </c>
      <c r="I286" s="9" t="s">
        <v>10</v>
      </c>
      <c r="J286" s="9" t="s">
        <v>11</v>
      </c>
      <c r="K286"/>
      <c r="U286"/>
      <c r="V286"/>
    </row>
    <row r="287" spans="1:22" ht="18" hidden="1">
      <c r="A287" s="9">
        <f>IF(Table1[[#This Row],[کد کوپ]]&lt;1,0,A286+1)</f>
        <v>286</v>
      </c>
      <c r="B287" s="9">
        <v>4563</v>
      </c>
      <c r="C287" s="10">
        <v>45425</v>
      </c>
      <c r="D287" s="11">
        <v>24.66</v>
      </c>
      <c r="E287" s="12">
        <v>3</v>
      </c>
      <c r="F287" s="12">
        <v>1.7</v>
      </c>
      <c r="G287" s="12">
        <v>1.65</v>
      </c>
      <c r="H287" s="9" t="s">
        <v>9</v>
      </c>
      <c r="I287" s="9" t="s">
        <v>10</v>
      </c>
      <c r="J287" s="9" t="s">
        <v>11</v>
      </c>
      <c r="K287"/>
      <c r="U287"/>
      <c r="V287"/>
    </row>
    <row r="288" spans="1:22" ht="18" hidden="1">
      <c r="A288" s="9">
        <f>IF(Table1[[#This Row],[کد کوپ]]&lt;1,0,A287+1)</f>
        <v>287</v>
      </c>
      <c r="B288" s="9">
        <v>4564</v>
      </c>
      <c r="C288" s="10">
        <v>45425</v>
      </c>
      <c r="D288" s="11">
        <v>23.96</v>
      </c>
      <c r="E288" s="12">
        <v>2.95</v>
      </c>
      <c r="F288" s="12">
        <v>1.7</v>
      </c>
      <c r="G288" s="12">
        <v>1.7</v>
      </c>
      <c r="H288" s="9" t="s">
        <v>9</v>
      </c>
      <c r="I288" s="9" t="s">
        <v>10</v>
      </c>
      <c r="J288" s="9" t="s">
        <v>11</v>
      </c>
      <c r="K288"/>
      <c r="U288"/>
      <c r="V288"/>
    </row>
    <row r="289" spans="1:22" ht="18" hidden="1">
      <c r="A289" s="9">
        <f>IF(Table1[[#This Row],[کد کوپ]]&lt;1,0,A288+1)</f>
        <v>288</v>
      </c>
      <c r="B289" s="9">
        <v>4565</v>
      </c>
      <c r="C289" s="10">
        <v>45426</v>
      </c>
      <c r="D289" s="11">
        <v>12.335000000000001</v>
      </c>
      <c r="E289" s="12">
        <v>2.2999999999999998</v>
      </c>
      <c r="F289" s="12">
        <v>1.7</v>
      </c>
      <c r="G289" s="12">
        <v>1.2</v>
      </c>
      <c r="H289" s="9" t="s">
        <v>9</v>
      </c>
      <c r="I289" s="9" t="s">
        <v>10</v>
      </c>
      <c r="J289" s="9" t="s">
        <v>11</v>
      </c>
      <c r="K289"/>
      <c r="U289"/>
      <c r="V289"/>
    </row>
    <row r="290" spans="1:22" ht="18" hidden="1">
      <c r="A290" s="9">
        <f>IF(Table1[[#This Row],[کد کوپ]]&lt;1,0,A289+1)</f>
        <v>289</v>
      </c>
      <c r="B290" s="9">
        <v>4566</v>
      </c>
      <c r="C290" s="10">
        <v>45426</v>
      </c>
      <c r="D290" s="11">
        <v>13.75</v>
      </c>
      <c r="E290" s="12">
        <v>1.85</v>
      </c>
      <c r="F290" s="12">
        <v>1.7</v>
      </c>
      <c r="G290" s="12">
        <v>1.65</v>
      </c>
      <c r="H290" s="9" t="s">
        <v>9</v>
      </c>
      <c r="I290" s="9" t="s">
        <v>10</v>
      </c>
      <c r="J290" s="9" t="s">
        <v>11</v>
      </c>
      <c r="K290"/>
      <c r="U290"/>
      <c r="V290"/>
    </row>
    <row r="291" spans="1:22" ht="18" hidden="1">
      <c r="A291" s="9">
        <f>IF(Table1[[#This Row],[کد کوپ]]&lt;1,0,A290+1)</f>
        <v>290</v>
      </c>
      <c r="B291" s="9">
        <v>4567</v>
      </c>
      <c r="C291" s="10">
        <v>45426</v>
      </c>
      <c r="D291" s="11">
        <v>11.3</v>
      </c>
      <c r="E291" s="12">
        <v>1.95</v>
      </c>
      <c r="F291" s="12">
        <v>1.7</v>
      </c>
      <c r="G291" s="12">
        <v>1.1499999999999999</v>
      </c>
      <c r="H291" s="9" t="s">
        <v>9</v>
      </c>
      <c r="I291" s="9" t="s">
        <v>10</v>
      </c>
      <c r="J291" s="9" t="s">
        <v>11</v>
      </c>
      <c r="K291"/>
      <c r="U291"/>
      <c r="V291"/>
    </row>
    <row r="292" spans="1:22" ht="18" hidden="1">
      <c r="A292" s="9">
        <f>IF(Table1[[#This Row],[کد کوپ]]&lt;1,0,A291+1)</f>
        <v>291</v>
      </c>
      <c r="B292" s="9">
        <v>4568</v>
      </c>
      <c r="C292" s="10">
        <v>45426</v>
      </c>
      <c r="D292" s="11">
        <v>17</v>
      </c>
      <c r="E292" s="12">
        <v>1.85</v>
      </c>
      <c r="F292" s="12">
        <v>1.8</v>
      </c>
      <c r="G292" s="12">
        <v>1.7</v>
      </c>
      <c r="H292" s="9" t="s">
        <v>9</v>
      </c>
      <c r="I292" s="9" t="s">
        <v>10</v>
      </c>
      <c r="J292" s="9" t="s">
        <v>11</v>
      </c>
      <c r="K292"/>
      <c r="U292"/>
      <c r="V292"/>
    </row>
    <row r="293" spans="1:22" ht="18" hidden="1">
      <c r="A293" s="9">
        <f>IF(Table1[[#This Row],[کد کوپ]]&lt;1,0,A292+1)</f>
        <v>292</v>
      </c>
      <c r="B293" s="9">
        <v>4569</v>
      </c>
      <c r="C293" s="10">
        <v>45426</v>
      </c>
      <c r="D293" s="11">
        <v>20.57</v>
      </c>
      <c r="E293" s="12">
        <v>2.95</v>
      </c>
      <c r="F293" s="12">
        <v>1.63</v>
      </c>
      <c r="G293" s="12">
        <v>1.55</v>
      </c>
      <c r="H293" s="9" t="s">
        <v>9</v>
      </c>
      <c r="I293" s="9" t="s">
        <v>10</v>
      </c>
      <c r="J293" s="9" t="s">
        <v>11</v>
      </c>
      <c r="K293"/>
      <c r="U293"/>
      <c r="V293"/>
    </row>
    <row r="294" spans="1:22" ht="18" hidden="1">
      <c r="A294" s="9">
        <f>IF(Table1[[#This Row],[کد کوپ]]&lt;1,0,A293+1)</f>
        <v>293</v>
      </c>
      <c r="B294" s="9">
        <v>4570</v>
      </c>
      <c r="C294" s="10">
        <v>45427</v>
      </c>
      <c r="D294" s="11">
        <v>22.36</v>
      </c>
      <c r="E294" s="12">
        <v>2</v>
      </c>
      <c r="F294" s="12">
        <v>1.7</v>
      </c>
      <c r="G294" s="12">
        <v>1.33</v>
      </c>
      <c r="H294" s="9" t="s">
        <v>9</v>
      </c>
      <c r="I294" s="9" t="s">
        <v>10</v>
      </c>
      <c r="J294" s="9" t="s">
        <v>11</v>
      </c>
      <c r="K294"/>
      <c r="U294"/>
      <c r="V294"/>
    </row>
    <row r="295" spans="1:22" ht="18" hidden="1">
      <c r="A295" s="9">
        <f>IF(Table1[[#This Row],[کد کوپ]]&lt;1,0,A294+1)</f>
        <v>294</v>
      </c>
      <c r="B295" s="9">
        <v>4571</v>
      </c>
      <c r="C295" s="10">
        <v>45427</v>
      </c>
      <c r="D295" s="11">
        <v>15.17</v>
      </c>
      <c r="E295" s="12">
        <v>1.8</v>
      </c>
      <c r="F295" s="12">
        <v>1.9</v>
      </c>
      <c r="G295" s="12">
        <v>1.7</v>
      </c>
      <c r="H295" s="9" t="s">
        <v>9</v>
      </c>
      <c r="I295" s="9" t="s">
        <v>10</v>
      </c>
      <c r="J295" s="9" t="s">
        <v>11</v>
      </c>
      <c r="K295"/>
      <c r="U295"/>
      <c r="V295"/>
    </row>
    <row r="296" spans="1:22" ht="18" hidden="1">
      <c r="A296" s="9">
        <f>IF(Table1[[#This Row],[کد کوپ]]&lt;1,0,A295+1)</f>
        <v>295</v>
      </c>
      <c r="B296" s="9">
        <v>4572</v>
      </c>
      <c r="C296" s="10">
        <v>45428</v>
      </c>
      <c r="D296" s="11">
        <v>25</v>
      </c>
      <c r="E296" s="12">
        <v>3</v>
      </c>
      <c r="F296" s="12">
        <v>1.73</v>
      </c>
      <c r="G296" s="12">
        <v>1.73</v>
      </c>
      <c r="H296" s="9" t="s">
        <v>9</v>
      </c>
      <c r="I296" s="9" t="s">
        <v>10</v>
      </c>
      <c r="J296" s="9" t="s">
        <v>11</v>
      </c>
      <c r="K296"/>
      <c r="U296"/>
      <c r="V296"/>
    </row>
    <row r="297" spans="1:22" ht="18" hidden="1">
      <c r="A297" s="9">
        <f>IF(Table1[[#This Row],[کد کوپ]]&lt;1,0,A296+1)</f>
        <v>296</v>
      </c>
      <c r="B297" s="9">
        <v>4573</v>
      </c>
      <c r="C297" s="10">
        <v>45428</v>
      </c>
      <c r="D297" s="11">
        <v>22.87</v>
      </c>
      <c r="E297" s="12">
        <v>3</v>
      </c>
      <c r="F297" s="12">
        <v>1.82</v>
      </c>
      <c r="G297" s="12">
        <v>1.6</v>
      </c>
      <c r="H297" s="9" t="s">
        <v>9</v>
      </c>
      <c r="I297" s="9" t="s">
        <v>10</v>
      </c>
      <c r="J297" s="9" t="s">
        <v>11</v>
      </c>
      <c r="K297"/>
      <c r="U297"/>
      <c r="V297"/>
    </row>
    <row r="298" spans="1:22" ht="18" hidden="1">
      <c r="A298" s="9">
        <f>IF(Table1[[#This Row],[کد کوپ]]&lt;1,0,A297+1)</f>
        <v>297</v>
      </c>
      <c r="B298" s="9">
        <v>4574</v>
      </c>
      <c r="C298" s="10">
        <v>45428</v>
      </c>
      <c r="D298" s="11">
        <v>21.22</v>
      </c>
      <c r="E298" s="12">
        <v>2.5</v>
      </c>
      <c r="F298" s="12">
        <v>1.87</v>
      </c>
      <c r="G298" s="12">
        <v>1.67</v>
      </c>
      <c r="H298" s="9" t="s">
        <v>9</v>
      </c>
      <c r="I298" s="9" t="s">
        <v>10</v>
      </c>
      <c r="J298" s="9" t="s">
        <v>11</v>
      </c>
      <c r="K298"/>
      <c r="U298"/>
      <c r="V298"/>
    </row>
    <row r="299" spans="1:22" ht="18" hidden="1">
      <c r="A299" s="9">
        <f>IF(Table1[[#This Row],[کد کوپ]]&lt;1,0,A298+1)</f>
        <v>298</v>
      </c>
      <c r="B299" s="9">
        <v>4575</v>
      </c>
      <c r="C299" s="10">
        <v>45429</v>
      </c>
      <c r="D299" s="11">
        <v>12.09</v>
      </c>
      <c r="E299" s="12">
        <v>1.96</v>
      </c>
      <c r="F299" s="12">
        <v>1.8</v>
      </c>
      <c r="G299" s="12">
        <v>1.27</v>
      </c>
      <c r="H299" s="9" t="s">
        <v>9</v>
      </c>
      <c r="I299" s="9" t="s">
        <v>10</v>
      </c>
      <c r="J299" s="9" t="s">
        <v>11</v>
      </c>
      <c r="K299"/>
      <c r="U299"/>
      <c r="V299"/>
    </row>
    <row r="300" spans="1:22" ht="18" hidden="1">
      <c r="A300" s="9">
        <f>IF(Table1[[#This Row],[کد کوپ]]&lt;1,0,A299+1)</f>
        <v>299</v>
      </c>
      <c r="B300" s="9">
        <v>4576</v>
      </c>
      <c r="C300" s="10">
        <v>45429</v>
      </c>
      <c r="D300" s="11">
        <v>14.12</v>
      </c>
      <c r="E300" s="12">
        <v>2</v>
      </c>
      <c r="F300" s="12">
        <v>1.7</v>
      </c>
      <c r="G300" s="12">
        <v>1.48</v>
      </c>
      <c r="H300" s="9" t="s">
        <v>9</v>
      </c>
      <c r="I300" s="9" t="s">
        <v>10</v>
      </c>
      <c r="J300" s="9" t="s">
        <v>11</v>
      </c>
      <c r="K300"/>
      <c r="U300"/>
      <c r="V300"/>
    </row>
    <row r="301" spans="1:22" ht="18" hidden="1">
      <c r="A301" s="9">
        <f>IF(Table1[[#This Row],[کد کوپ]]&lt;1,0,A300+1)</f>
        <v>300</v>
      </c>
      <c r="B301" s="9">
        <v>4577</v>
      </c>
      <c r="C301" s="10">
        <v>45429</v>
      </c>
      <c r="D301" s="11">
        <v>20.18</v>
      </c>
      <c r="E301" s="12">
        <v>2.4</v>
      </c>
      <c r="F301" s="12">
        <v>1.9</v>
      </c>
      <c r="G301" s="12">
        <v>1.7</v>
      </c>
      <c r="H301" s="9" t="s">
        <v>9</v>
      </c>
      <c r="I301" s="9" t="s">
        <v>10</v>
      </c>
      <c r="J301" s="9" t="s">
        <v>11</v>
      </c>
      <c r="K301"/>
      <c r="U301"/>
      <c r="V301"/>
    </row>
    <row r="302" spans="1:22" ht="18" hidden="1">
      <c r="A302" s="9">
        <f>IF(Table1[[#This Row],[کد کوپ]]&lt;1,0,A301+1)</f>
        <v>301</v>
      </c>
      <c r="B302" s="9">
        <v>4578</v>
      </c>
      <c r="C302" s="10">
        <v>45429</v>
      </c>
      <c r="D302" s="11">
        <v>15.42</v>
      </c>
      <c r="E302" s="12">
        <v>2</v>
      </c>
      <c r="F302" s="12">
        <v>1.75</v>
      </c>
      <c r="G302" s="12">
        <v>1.6</v>
      </c>
      <c r="H302" s="9" t="s">
        <v>9</v>
      </c>
      <c r="I302" s="9" t="s">
        <v>10</v>
      </c>
      <c r="J302" s="9" t="s">
        <v>11</v>
      </c>
      <c r="K302"/>
      <c r="U302"/>
      <c r="V302"/>
    </row>
    <row r="303" spans="1:22" ht="18" hidden="1">
      <c r="A303" s="9">
        <f>IF(Table1[[#This Row],[کد کوپ]]&lt;1,0,A302+1)</f>
        <v>302</v>
      </c>
      <c r="B303" s="9">
        <v>4579</v>
      </c>
      <c r="C303" s="10">
        <v>45429</v>
      </c>
      <c r="D303" s="11">
        <v>10.78</v>
      </c>
      <c r="E303" s="12">
        <v>1.9</v>
      </c>
      <c r="F303" s="12">
        <v>1.75</v>
      </c>
      <c r="G303" s="12">
        <v>1.23</v>
      </c>
      <c r="H303" s="9" t="s">
        <v>9</v>
      </c>
      <c r="I303" s="9" t="s">
        <v>10</v>
      </c>
      <c r="J303" s="9" t="s">
        <v>11</v>
      </c>
      <c r="K303"/>
      <c r="U303"/>
      <c r="V303"/>
    </row>
    <row r="304" spans="1:22" ht="18" hidden="1">
      <c r="A304" s="9">
        <f>IF(Table1[[#This Row],[کد کوپ]]&lt;1,0,A303+1)</f>
        <v>303</v>
      </c>
      <c r="B304" s="9">
        <v>4580</v>
      </c>
      <c r="C304" s="10">
        <v>45429</v>
      </c>
      <c r="D304" s="11">
        <v>22.34</v>
      </c>
      <c r="E304" s="12">
        <v>2.65</v>
      </c>
      <c r="F304" s="12">
        <v>1.9</v>
      </c>
      <c r="G304" s="12">
        <v>1.6</v>
      </c>
      <c r="H304" s="9" t="s">
        <v>9</v>
      </c>
      <c r="I304" s="9" t="s">
        <v>10</v>
      </c>
      <c r="J304" s="9" t="s">
        <v>11</v>
      </c>
      <c r="K304"/>
      <c r="U304"/>
      <c r="V304"/>
    </row>
    <row r="305" spans="1:22" ht="18" hidden="1">
      <c r="A305" s="9">
        <f>IF(Table1[[#This Row],[کد کوپ]]&lt;1,0,A304+1)</f>
        <v>304</v>
      </c>
      <c r="B305" s="9">
        <v>4581</v>
      </c>
      <c r="C305" s="10">
        <v>45430</v>
      </c>
      <c r="D305" s="11">
        <v>4.75</v>
      </c>
      <c r="E305" s="12">
        <v>2.5</v>
      </c>
      <c r="F305" s="12">
        <v>1.95</v>
      </c>
      <c r="G305" s="12">
        <v>0.35</v>
      </c>
      <c r="H305" s="9" t="s">
        <v>23</v>
      </c>
      <c r="I305" s="9" t="s">
        <v>24</v>
      </c>
      <c r="J305" s="9" t="s">
        <v>25</v>
      </c>
      <c r="K305"/>
      <c r="U305"/>
      <c r="V305"/>
    </row>
    <row r="306" spans="1:22" ht="18" hidden="1">
      <c r="A306" s="9">
        <f>IF(Table1[[#This Row],[کد کوپ]]&lt;1,0,A305+1)</f>
        <v>305</v>
      </c>
      <c r="B306" s="9">
        <v>4582</v>
      </c>
      <c r="C306" s="10">
        <v>45430</v>
      </c>
      <c r="D306" s="11">
        <v>5.2</v>
      </c>
      <c r="E306" s="12">
        <v>2.2000000000000002</v>
      </c>
      <c r="F306" s="12">
        <v>2.1</v>
      </c>
      <c r="G306" s="12">
        <v>0.35</v>
      </c>
      <c r="H306" s="9" t="s">
        <v>23</v>
      </c>
      <c r="I306" s="9" t="s">
        <v>24</v>
      </c>
      <c r="J306" s="9" t="s">
        <v>25</v>
      </c>
      <c r="K306"/>
      <c r="U306"/>
      <c r="V306"/>
    </row>
    <row r="307" spans="1:22" ht="18" hidden="1">
      <c r="A307" s="9">
        <f>IF(Table1[[#This Row],[کد کوپ]]&lt;1,0,A306+1)</f>
        <v>306</v>
      </c>
      <c r="B307" s="9">
        <v>4583</v>
      </c>
      <c r="C307" s="10">
        <v>45430</v>
      </c>
      <c r="D307" s="11">
        <v>3.5</v>
      </c>
      <c r="E307" s="12">
        <v>1.9</v>
      </c>
      <c r="F307" s="12">
        <v>1.65</v>
      </c>
      <c r="G307" s="12">
        <v>0.35</v>
      </c>
      <c r="H307" s="9" t="s">
        <v>23</v>
      </c>
      <c r="I307" s="9" t="s">
        <v>24</v>
      </c>
      <c r="J307" s="9" t="s">
        <v>25</v>
      </c>
      <c r="K307"/>
      <c r="U307"/>
      <c r="V307"/>
    </row>
    <row r="308" spans="1:22" ht="18" hidden="1">
      <c r="A308" s="9">
        <f>IF(Table1[[#This Row],[کد کوپ]]&lt;1,0,A307+1)</f>
        <v>307</v>
      </c>
      <c r="B308" s="9">
        <v>4584</v>
      </c>
      <c r="C308" s="10">
        <v>45430</v>
      </c>
      <c r="D308" s="11">
        <v>4.7</v>
      </c>
      <c r="E308" s="12">
        <v>3</v>
      </c>
      <c r="F308" s="12">
        <v>1.9</v>
      </c>
      <c r="G308" s="12">
        <v>0.27</v>
      </c>
      <c r="H308" s="9" t="s">
        <v>23</v>
      </c>
      <c r="I308" s="9" t="s">
        <v>24</v>
      </c>
      <c r="J308" s="9" t="s">
        <v>25</v>
      </c>
      <c r="K308"/>
      <c r="U308"/>
      <c r="V308"/>
    </row>
    <row r="309" spans="1:22" ht="18" hidden="1">
      <c r="A309" s="9">
        <f>IF(Table1[[#This Row],[کد کوپ]]&lt;1,0,A308+1)</f>
        <v>308</v>
      </c>
      <c r="B309" s="9">
        <v>4585</v>
      </c>
      <c r="C309" s="10">
        <v>45430</v>
      </c>
      <c r="D309" s="11">
        <v>4.2</v>
      </c>
      <c r="E309" s="12">
        <v>3</v>
      </c>
      <c r="F309" s="12">
        <v>1.9</v>
      </c>
      <c r="G309" s="12">
        <v>0.25</v>
      </c>
      <c r="H309" s="9" t="s">
        <v>23</v>
      </c>
      <c r="I309" s="9" t="s">
        <v>24</v>
      </c>
      <c r="J309" s="9" t="s">
        <v>25</v>
      </c>
      <c r="K309"/>
      <c r="U309"/>
      <c r="V309"/>
    </row>
    <row r="310" spans="1:22" ht="18" hidden="1">
      <c r="A310" s="9">
        <f>IF(Table1[[#This Row],[کد کوپ]]&lt;1,0,A309+1)</f>
        <v>309</v>
      </c>
      <c r="B310" s="9">
        <v>4586</v>
      </c>
      <c r="C310" s="10">
        <v>45430</v>
      </c>
      <c r="D310" s="11">
        <v>9.5</v>
      </c>
      <c r="E310" s="12">
        <v>3.35</v>
      </c>
      <c r="F310" s="12">
        <v>2.06</v>
      </c>
      <c r="G310" s="12">
        <v>0.51</v>
      </c>
      <c r="H310" s="9" t="s">
        <v>23</v>
      </c>
      <c r="I310" s="9" t="s">
        <v>24</v>
      </c>
      <c r="J310" s="9" t="s">
        <v>25</v>
      </c>
      <c r="K310"/>
      <c r="U310"/>
      <c r="V310"/>
    </row>
    <row r="311" spans="1:22" ht="18" hidden="1">
      <c r="A311" s="9">
        <f>IF(Table1[[#This Row],[کد کوپ]]&lt;1,0,A310+1)</f>
        <v>310</v>
      </c>
      <c r="B311" s="9">
        <v>4587</v>
      </c>
      <c r="C311" s="10">
        <v>45430</v>
      </c>
      <c r="D311" s="11">
        <v>25.63</v>
      </c>
      <c r="E311" s="12">
        <v>2.9</v>
      </c>
      <c r="F311" s="12">
        <v>1.78</v>
      </c>
      <c r="G311" s="12">
        <v>1.8</v>
      </c>
      <c r="H311" s="9" t="s">
        <v>9</v>
      </c>
      <c r="I311" s="9" t="s">
        <v>10</v>
      </c>
      <c r="J311" s="9" t="s">
        <v>11</v>
      </c>
      <c r="K311"/>
      <c r="U311"/>
      <c r="V311"/>
    </row>
    <row r="312" spans="1:22" ht="18" hidden="1">
      <c r="A312" s="9">
        <f>IF(Table1[[#This Row],[کد کوپ]]&lt;1,0,A311+1)</f>
        <v>311</v>
      </c>
      <c r="B312" s="9">
        <v>4588</v>
      </c>
      <c r="C312" s="10">
        <v>45432</v>
      </c>
      <c r="D312" s="11">
        <v>25.8</v>
      </c>
      <c r="E312" s="12">
        <v>2.9</v>
      </c>
      <c r="F312" s="12">
        <v>1.9</v>
      </c>
      <c r="G312" s="12">
        <v>1.7</v>
      </c>
      <c r="H312" s="9" t="s">
        <v>9</v>
      </c>
      <c r="I312" s="9" t="s">
        <v>10</v>
      </c>
      <c r="J312" s="9" t="s">
        <v>11</v>
      </c>
      <c r="K312"/>
      <c r="U312"/>
      <c r="V312"/>
    </row>
    <row r="313" spans="1:22" ht="18" hidden="1">
      <c r="A313" s="9">
        <f>IF(Table1[[#This Row],[کد کوپ]]&lt;1,0,A312+1)</f>
        <v>312</v>
      </c>
      <c r="B313" s="9">
        <v>4589</v>
      </c>
      <c r="C313" s="10">
        <v>45432</v>
      </c>
      <c r="D313" s="11">
        <v>21.82</v>
      </c>
      <c r="E313" s="12">
        <v>2.95</v>
      </c>
      <c r="F313" s="12">
        <v>1.8</v>
      </c>
      <c r="G313" s="12">
        <v>1.55</v>
      </c>
      <c r="H313" s="9" t="s">
        <v>9</v>
      </c>
      <c r="I313" s="9" t="s">
        <v>10</v>
      </c>
      <c r="J313" s="9" t="s">
        <v>11</v>
      </c>
      <c r="K313"/>
      <c r="U313"/>
      <c r="V313"/>
    </row>
    <row r="314" spans="1:22" ht="18" hidden="1">
      <c r="A314" s="9">
        <f>IF(Table1[[#This Row],[کد کوپ]]&lt;1,0,A313+1)</f>
        <v>313</v>
      </c>
      <c r="B314" s="9">
        <v>4590</v>
      </c>
      <c r="C314" s="10">
        <v>45435</v>
      </c>
      <c r="D314" s="11">
        <v>23.15</v>
      </c>
      <c r="E314" s="12">
        <v>2.5299999999999998</v>
      </c>
      <c r="F314" s="12">
        <v>1.82</v>
      </c>
      <c r="G314" s="12">
        <v>1.82</v>
      </c>
      <c r="H314" s="9" t="s">
        <v>9</v>
      </c>
      <c r="I314" s="9" t="s">
        <v>10</v>
      </c>
      <c r="J314" s="9" t="s">
        <v>11</v>
      </c>
      <c r="K314"/>
      <c r="U314"/>
      <c r="V314"/>
    </row>
    <row r="315" spans="1:22" ht="18" hidden="1">
      <c r="A315" s="9">
        <f>IF(Table1[[#This Row],[کد کوپ]]&lt;1,0,A314+1)</f>
        <v>314</v>
      </c>
      <c r="B315" s="9">
        <v>4591</v>
      </c>
      <c r="C315" s="10">
        <v>45435</v>
      </c>
      <c r="D315" s="11">
        <v>7.75</v>
      </c>
      <c r="E315" s="12">
        <v>1.6</v>
      </c>
      <c r="F315" s="12">
        <v>1.6</v>
      </c>
      <c r="G315" s="12">
        <v>1.08</v>
      </c>
      <c r="H315" s="9" t="s">
        <v>9</v>
      </c>
      <c r="I315" s="9" t="s">
        <v>10</v>
      </c>
      <c r="J315" s="9" t="s">
        <v>11</v>
      </c>
      <c r="K315"/>
      <c r="U315"/>
      <c r="V315"/>
    </row>
    <row r="316" spans="1:22" ht="18" hidden="1">
      <c r="A316" s="9">
        <f>IF(Table1[[#This Row],[کد کوپ]]&lt;1,0,A315+1)</f>
        <v>315</v>
      </c>
      <c r="B316" s="9">
        <v>4592</v>
      </c>
      <c r="C316" s="10">
        <v>45435</v>
      </c>
      <c r="D316" s="11">
        <v>16.690000000000001</v>
      </c>
      <c r="E316" s="12">
        <v>2.5499999999999998</v>
      </c>
      <c r="F316" s="12">
        <v>1.63</v>
      </c>
      <c r="G316" s="12">
        <v>1.45</v>
      </c>
      <c r="H316" s="9" t="s">
        <v>9</v>
      </c>
      <c r="I316" s="9" t="s">
        <v>10</v>
      </c>
      <c r="J316" s="9" t="s">
        <v>11</v>
      </c>
      <c r="K316"/>
      <c r="U316"/>
      <c r="V316"/>
    </row>
    <row r="317" spans="1:22" ht="18" hidden="1">
      <c r="A317" s="9">
        <f>IF(Table1[[#This Row],[کد کوپ]]&lt;1,0,A316+1)</f>
        <v>316</v>
      </c>
      <c r="B317" s="9">
        <v>4593</v>
      </c>
      <c r="C317" s="10">
        <v>45435</v>
      </c>
      <c r="D317" s="11">
        <v>23.43</v>
      </c>
      <c r="E317" s="12">
        <v>2.8</v>
      </c>
      <c r="F317" s="12">
        <v>1.75</v>
      </c>
      <c r="G317" s="12">
        <v>1.65</v>
      </c>
      <c r="H317" s="9" t="s">
        <v>9</v>
      </c>
      <c r="I317" s="9" t="s">
        <v>10</v>
      </c>
      <c r="J317" s="9" t="s">
        <v>11</v>
      </c>
      <c r="K317"/>
      <c r="U317"/>
      <c r="V317"/>
    </row>
    <row r="318" spans="1:22" ht="18" hidden="1">
      <c r="A318" s="9">
        <f>IF(Table1[[#This Row],[کد کوپ]]&lt;1,0,A317+1)</f>
        <v>317</v>
      </c>
      <c r="B318" s="9">
        <v>4594</v>
      </c>
      <c r="C318" s="10">
        <v>45435</v>
      </c>
      <c r="D318" s="11">
        <v>26</v>
      </c>
      <c r="E318" s="12">
        <v>2.7</v>
      </c>
      <c r="F318" s="12">
        <v>1.9</v>
      </c>
      <c r="G318" s="12">
        <v>1.75</v>
      </c>
      <c r="H318" s="9" t="s">
        <v>9</v>
      </c>
      <c r="I318" s="9" t="s">
        <v>10</v>
      </c>
      <c r="J318" s="9" t="s">
        <v>11</v>
      </c>
      <c r="K318"/>
      <c r="U318"/>
      <c r="V318"/>
    </row>
    <row r="319" spans="1:22" ht="18" hidden="1">
      <c r="A319" s="9">
        <f>IF(Table1[[#This Row],[کد کوپ]]&lt;1,0,A318+1)</f>
        <v>318</v>
      </c>
      <c r="B319" s="9">
        <v>4595</v>
      </c>
      <c r="C319" s="10">
        <v>45436</v>
      </c>
      <c r="D319" s="11">
        <v>25.73</v>
      </c>
      <c r="E319" s="12">
        <v>2.9</v>
      </c>
      <c r="F319" s="12">
        <v>1.95</v>
      </c>
      <c r="G319" s="12">
        <v>1.7</v>
      </c>
      <c r="H319" s="9" t="s">
        <v>9</v>
      </c>
      <c r="I319" s="9" t="s">
        <v>10</v>
      </c>
      <c r="J319" s="9" t="s">
        <v>11</v>
      </c>
      <c r="K319"/>
      <c r="U319"/>
      <c r="V319"/>
    </row>
    <row r="320" spans="1:22" ht="18" hidden="1">
      <c r="A320" s="9">
        <f>IF(Table1[[#This Row],[کد کوپ]]&lt;1,0,A319+1)</f>
        <v>319</v>
      </c>
      <c r="B320" s="9">
        <v>4596</v>
      </c>
      <c r="C320" s="10">
        <v>45437</v>
      </c>
      <c r="D320" s="11">
        <v>14.4</v>
      </c>
      <c r="E320" s="12">
        <v>1.72</v>
      </c>
      <c r="F320" s="12">
        <v>1.7</v>
      </c>
      <c r="G320" s="12">
        <v>1.7</v>
      </c>
      <c r="H320" s="9" t="s">
        <v>9</v>
      </c>
      <c r="I320" s="9" t="s">
        <v>10</v>
      </c>
      <c r="J320" s="9" t="s">
        <v>11</v>
      </c>
      <c r="K320"/>
      <c r="U320"/>
      <c r="V320"/>
    </row>
    <row r="321" spans="1:22" ht="18" hidden="1">
      <c r="A321" s="9">
        <f>IF(Table1[[#This Row],[کد کوپ]]&lt;1,0,A320+1)</f>
        <v>320</v>
      </c>
      <c r="B321" s="9">
        <v>4597</v>
      </c>
      <c r="C321" s="10">
        <v>45437</v>
      </c>
      <c r="D321" s="11">
        <v>10.9</v>
      </c>
      <c r="E321" s="12">
        <v>1.8</v>
      </c>
      <c r="F321" s="12">
        <v>1.6</v>
      </c>
      <c r="G321" s="12">
        <v>1.3</v>
      </c>
      <c r="H321" s="9" t="s">
        <v>9</v>
      </c>
      <c r="I321" s="9" t="s">
        <v>10</v>
      </c>
      <c r="J321" s="9" t="s">
        <v>11</v>
      </c>
      <c r="K321"/>
      <c r="U321"/>
      <c r="V321"/>
    </row>
    <row r="322" spans="1:22" ht="18" hidden="1">
      <c r="A322" s="9">
        <f>IF(Table1[[#This Row],[کد کوپ]]&lt;1,0,A321+1)</f>
        <v>321</v>
      </c>
      <c r="B322" s="9">
        <v>4598</v>
      </c>
      <c r="C322" s="10">
        <v>45437</v>
      </c>
      <c r="D322" s="11">
        <v>25.6</v>
      </c>
      <c r="E322" s="12">
        <v>2.65</v>
      </c>
      <c r="F322" s="12">
        <v>1.9</v>
      </c>
      <c r="G322" s="12">
        <v>1.85</v>
      </c>
      <c r="H322" s="9" t="s">
        <v>9</v>
      </c>
      <c r="I322" s="9" t="s">
        <v>10</v>
      </c>
      <c r="J322" s="9" t="s">
        <v>11</v>
      </c>
      <c r="K322"/>
      <c r="U322"/>
      <c r="V322"/>
    </row>
    <row r="323" spans="1:22" ht="18" hidden="1">
      <c r="A323" s="9">
        <f>IF(Table1[[#This Row],[کد کوپ]]&lt;1,0,A322+1)</f>
        <v>322</v>
      </c>
      <c r="B323" s="9">
        <v>4599</v>
      </c>
      <c r="C323" s="10">
        <v>45437</v>
      </c>
      <c r="D323" s="11">
        <v>24.7</v>
      </c>
      <c r="E323" s="12">
        <v>2.75</v>
      </c>
      <c r="F323" s="12">
        <v>1.85</v>
      </c>
      <c r="G323" s="12">
        <v>1.8</v>
      </c>
      <c r="H323" s="9" t="s">
        <v>9</v>
      </c>
      <c r="I323" s="9" t="s">
        <v>10</v>
      </c>
      <c r="J323" s="9" t="s">
        <v>11</v>
      </c>
      <c r="K323"/>
      <c r="U323"/>
      <c r="V323"/>
    </row>
    <row r="324" spans="1:22" ht="18" hidden="1">
      <c r="A324" s="9">
        <f>IF(Table1[[#This Row],[کد کوپ]]&lt;1,0,A323+1)</f>
        <v>323</v>
      </c>
      <c r="B324" s="9">
        <v>4600</v>
      </c>
      <c r="C324" s="10">
        <v>45439</v>
      </c>
      <c r="D324" s="11">
        <v>18.61</v>
      </c>
      <c r="E324" s="12">
        <v>2.25</v>
      </c>
      <c r="F324" s="12">
        <v>1.75</v>
      </c>
      <c r="G324" s="12">
        <v>1.6</v>
      </c>
      <c r="H324" s="9" t="s">
        <v>9</v>
      </c>
      <c r="I324" s="9" t="s">
        <v>10</v>
      </c>
      <c r="J324" s="9" t="s">
        <v>11</v>
      </c>
      <c r="K324"/>
      <c r="U324"/>
      <c r="V324"/>
    </row>
    <row r="325" spans="1:22" ht="18" hidden="1">
      <c r="A325" s="9">
        <f>IF(Table1[[#This Row],[کد کوپ]]&lt;1,0,A324+1)</f>
        <v>324</v>
      </c>
      <c r="B325" s="9">
        <v>4601</v>
      </c>
      <c r="C325" s="10">
        <v>45439</v>
      </c>
      <c r="D325" s="11">
        <v>19.7</v>
      </c>
      <c r="E325" s="12">
        <v>2.8</v>
      </c>
      <c r="F325" s="12">
        <v>1.8</v>
      </c>
      <c r="G325" s="12">
        <v>1.4</v>
      </c>
      <c r="H325" s="9" t="s">
        <v>9</v>
      </c>
      <c r="I325" s="9" t="s">
        <v>10</v>
      </c>
      <c r="J325" s="9" t="s">
        <v>11</v>
      </c>
      <c r="K325"/>
      <c r="U325"/>
      <c r="V325"/>
    </row>
    <row r="326" spans="1:22" ht="18" hidden="1">
      <c r="A326" s="9">
        <f>IF(Table1[[#This Row],[کد کوپ]]&lt;1,0,A325+1)</f>
        <v>325</v>
      </c>
      <c r="B326" s="9">
        <v>4602</v>
      </c>
      <c r="C326" s="10">
        <v>45439</v>
      </c>
      <c r="D326" s="11">
        <v>24.85</v>
      </c>
      <c r="E326" s="12">
        <v>2.9</v>
      </c>
      <c r="F326" s="12">
        <v>1.87</v>
      </c>
      <c r="G326" s="12">
        <v>1.7</v>
      </c>
      <c r="H326" s="9" t="s">
        <v>9</v>
      </c>
      <c r="I326" s="9" t="s">
        <v>10</v>
      </c>
      <c r="J326" s="9" t="s">
        <v>11</v>
      </c>
      <c r="K326"/>
      <c r="U326"/>
      <c r="V326"/>
    </row>
    <row r="327" spans="1:22" ht="18" hidden="1">
      <c r="A327" s="9">
        <f>IF(Table1[[#This Row],[کد کوپ]]&lt;1,0,A326+1)</f>
        <v>326</v>
      </c>
      <c r="B327" s="9">
        <v>4603</v>
      </c>
      <c r="C327" s="10">
        <v>45440</v>
      </c>
      <c r="D327" s="11">
        <v>4.8</v>
      </c>
      <c r="E327" s="12">
        <v>2.15</v>
      </c>
      <c r="F327" s="12">
        <v>2.0499999999999998</v>
      </c>
      <c r="G327" s="12">
        <v>0.4</v>
      </c>
      <c r="H327" s="9" t="s">
        <v>23</v>
      </c>
      <c r="I327" s="9" t="s">
        <v>24</v>
      </c>
      <c r="J327" s="9" t="s">
        <v>25</v>
      </c>
      <c r="K327"/>
      <c r="U327"/>
      <c r="V327"/>
    </row>
    <row r="328" spans="1:22" ht="18" hidden="1">
      <c r="A328" s="9">
        <f>IF(Table1[[#This Row],[کد کوپ]]&lt;1,0,A327+1)</f>
        <v>327</v>
      </c>
      <c r="B328" s="9">
        <v>4604</v>
      </c>
      <c r="C328" s="10">
        <v>45440</v>
      </c>
      <c r="D328" s="11">
        <v>8.5</v>
      </c>
      <c r="E328" s="12">
        <v>3.14</v>
      </c>
      <c r="F328" s="12">
        <v>2.1</v>
      </c>
      <c r="G328" s="12">
        <v>0.5</v>
      </c>
      <c r="H328" s="9" t="s">
        <v>23</v>
      </c>
      <c r="I328" s="9" t="s">
        <v>24</v>
      </c>
      <c r="J328" s="9" t="s">
        <v>25</v>
      </c>
      <c r="K328"/>
      <c r="U328"/>
      <c r="V328"/>
    </row>
    <row r="329" spans="1:22" ht="18" hidden="1">
      <c r="A329" s="9">
        <f>IF(Table1[[#This Row],[کد کوپ]]&lt;1,0,A328+1)</f>
        <v>328</v>
      </c>
      <c r="B329" s="9">
        <v>4605</v>
      </c>
      <c r="C329" s="10">
        <v>45440</v>
      </c>
      <c r="D329" s="11">
        <v>9.5</v>
      </c>
      <c r="E329" s="12">
        <v>3.04</v>
      </c>
      <c r="F329" s="12">
        <v>1.8</v>
      </c>
      <c r="G329" s="12">
        <v>0.6</v>
      </c>
      <c r="H329" s="9" t="s">
        <v>23</v>
      </c>
      <c r="I329" s="9" t="s">
        <v>24</v>
      </c>
      <c r="J329" s="9" t="s">
        <v>25</v>
      </c>
      <c r="K329"/>
      <c r="U329"/>
      <c r="V329"/>
    </row>
    <row r="330" spans="1:22" ht="18" hidden="1">
      <c r="A330" s="9">
        <f>IF(Table1[[#This Row],[کد کوپ]]&lt;1,0,A329+1)</f>
        <v>329</v>
      </c>
      <c r="B330" s="9">
        <v>4606</v>
      </c>
      <c r="C330" s="10">
        <v>45440</v>
      </c>
      <c r="D330" s="11">
        <v>6.5</v>
      </c>
      <c r="E330" s="12">
        <v>3.27</v>
      </c>
      <c r="F330" s="12">
        <v>2.0299999999999998</v>
      </c>
      <c r="G330" s="12">
        <v>0.33</v>
      </c>
      <c r="H330" s="9" t="s">
        <v>23</v>
      </c>
      <c r="I330" s="9" t="s">
        <v>24</v>
      </c>
      <c r="J330" s="9" t="s">
        <v>25</v>
      </c>
      <c r="K330"/>
      <c r="U330"/>
      <c r="V330"/>
    </row>
    <row r="331" spans="1:22" ht="18" hidden="1">
      <c r="A331" s="9">
        <f>IF(Table1[[#This Row],[کد کوپ]]&lt;1,0,A330+1)</f>
        <v>330</v>
      </c>
      <c r="B331" s="9">
        <v>4607</v>
      </c>
      <c r="C331" s="10">
        <v>45441</v>
      </c>
      <c r="D331" s="11">
        <v>5.0999999999999996</v>
      </c>
      <c r="E331" s="12">
        <v>2.5</v>
      </c>
      <c r="F331" s="12">
        <v>1.9</v>
      </c>
      <c r="G331" s="12">
        <v>0.35</v>
      </c>
      <c r="H331" s="9" t="s">
        <v>23</v>
      </c>
      <c r="I331" s="9" t="s">
        <v>24</v>
      </c>
      <c r="J331" s="9" t="s">
        <v>25</v>
      </c>
      <c r="K331"/>
      <c r="U331"/>
      <c r="V331"/>
    </row>
    <row r="332" spans="1:22" ht="18" hidden="1">
      <c r="A332" s="9">
        <f>IF(Table1[[#This Row],[کد کوپ]]&lt;1,0,A331+1)</f>
        <v>331</v>
      </c>
      <c r="B332" s="9">
        <v>4608</v>
      </c>
      <c r="C332" s="10">
        <v>45441</v>
      </c>
      <c r="D332" s="11">
        <v>6.25</v>
      </c>
      <c r="E332" s="12">
        <v>3.2</v>
      </c>
      <c r="F332" s="12">
        <v>2</v>
      </c>
      <c r="G332" s="12">
        <v>0.3</v>
      </c>
      <c r="H332" s="9" t="s">
        <v>23</v>
      </c>
      <c r="I332" s="9" t="s">
        <v>24</v>
      </c>
      <c r="J332" s="9" t="s">
        <v>25</v>
      </c>
      <c r="K332"/>
      <c r="U332"/>
      <c r="V332"/>
    </row>
    <row r="333" spans="1:22" ht="18" hidden="1">
      <c r="A333" s="9">
        <f>IF(Table1[[#This Row],[کد کوپ]]&lt;1,0,A332+1)</f>
        <v>332</v>
      </c>
      <c r="B333" s="9">
        <v>4609</v>
      </c>
      <c r="C333" s="10">
        <v>45441</v>
      </c>
      <c r="D333" s="11">
        <v>6.9</v>
      </c>
      <c r="E333" s="12">
        <v>3.1</v>
      </c>
      <c r="F333" s="12">
        <v>2.17</v>
      </c>
      <c r="G333" s="12">
        <v>0.4</v>
      </c>
      <c r="H333" s="9" t="s">
        <v>23</v>
      </c>
      <c r="I333" s="9" t="s">
        <v>24</v>
      </c>
      <c r="J333" s="9" t="s">
        <v>25</v>
      </c>
      <c r="K333"/>
      <c r="U333"/>
      <c r="V333"/>
    </row>
    <row r="334" spans="1:22" ht="18" hidden="1">
      <c r="A334" s="9">
        <f>IF(Table1[[#This Row],[کد کوپ]]&lt;1,0,A333+1)</f>
        <v>333</v>
      </c>
      <c r="B334" s="9">
        <v>4610</v>
      </c>
      <c r="C334" s="10">
        <v>45441</v>
      </c>
      <c r="D334" s="11">
        <v>8</v>
      </c>
      <c r="E334" s="12">
        <v>3.2</v>
      </c>
      <c r="F334" s="12">
        <v>2.14</v>
      </c>
      <c r="G334" s="12">
        <v>0.4</v>
      </c>
      <c r="H334" s="9" t="s">
        <v>23</v>
      </c>
      <c r="I334" s="9" t="s">
        <v>24</v>
      </c>
      <c r="J334" s="9" t="s">
        <v>25</v>
      </c>
      <c r="K334"/>
      <c r="U334"/>
      <c r="V334"/>
    </row>
    <row r="335" spans="1:22" ht="18" hidden="1">
      <c r="A335" s="9">
        <f>IF(Table1[[#This Row],[کد کوپ]]&lt;1,0,A334+1)</f>
        <v>334</v>
      </c>
      <c r="B335" s="9">
        <v>4611</v>
      </c>
      <c r="C335" s="10">
        <v>45441</v>
      </c>
      <c r="D335" s="11">
        <v>7.2</v>
      </c>
      <c r="E335" s="12">
        <v>3</v>
      </c>
      <c r="F335" s="12">
        <v>2.2000000000000002</v>
      </c>
      <c r="G335" s="12">
        <v>0.45</v>
      </c>
      <c r="H335" s="9" t="s">
        <v>23</v>
      </c>
      <c r="I335" s="9" t="s">
        <v>24</v>
      </c>
      <c r="J335" s="9" t="s">
        <v>25</v>
      </c>
      <c r="K335"/>
      <c r="U335"/>
      <c r="V335"/>
    </row>
    <row r="336" spans="1:22" ht="18" hidden="1">
      <c r="A336" s="9">
        <f>IF(Table1[[#This Row],[کد کوپ]]&lt;1,0,A335+1)</f>
        <v>335</v>
      </c>
      <c r="B336" s="9">
        <v>4612</v>
      </c>
      <c r="C336" s="10">
        <v>45441</v>
      </c>
      <c r="D336" s="11">
        <v>6.86</v>
      </c>
      <c r="E336" s="12">
        <v>3.2</v>
      </c>
      <c r="F336" s="12">
        <v>2.1</v>
      </c>
      <c r="G336" s="12">
        <v>0.37</v>
      </c>
      <c r="H336" s="9" t="s">
        <v>23</v>
      </c>
      <c r="I336" s="9" t="s">
        <v>24</v>
      </c>
      <c r="J336" s="9" t="s">
        <v>25</v>
      </c>
      <c r="K336"/>
      <c r="U336"/>
      <c r="V336"/>
    </row>
    <row r="337" spans="1:22" ht="18" hidden="1">
      <c r="A337" s="9">
        <f>IF(Table1[[#This Row],[کد کوپ]]&lt;1,0,A336+1)</f>
        <v>336</v>
      </c>
      <c r="B337" s="9">
        <v>4613</v>
      </c>
      <c r="C337" s="10">
        <v>45441</v>
      </c>
      <c r="D337" s="11">
        <v>6.9</v>
      </c>
      <c r="E337" s="12">
        <v>3.1</v>
      </c>
      <c r="F337" s="12">
        <v>2.1</v>
      </c>
      <c r="G337" s="12">
        <v>0.35</v>
      </c>
      <c r="H337" s="9" t="s">
        <v>23</v>
      </c>
      <c r="I337" s="9" t="s">
        <v>24</v>
      </c>
      <c r="J337" s="9" t="s">
        <v>25</v>
      </c>
      <c r="K337"/>
      <c r="U337"/>
      <c r="V337"/>
    </row>
    <row r="338" spans="1:22" ht="18" hidden="1">
      <c r="A338" s="9">
        <f>IF(Table1[[#This Row],[کد کوپ]]&lt;1,0,A337+1)</f>
        <v>337</v>
      </c>
      <c r="B338" s="9">
        <v>4614</v>
      </c>
      <c r="C338" s="10">
        <v>45441</v>
      </c>
      <c r="D338" s="11">
        <v>6.45</v>
      </c>
      <c r="E338" s="12">
        <v>3</v>
      </c>
      <c r="F338" s="12">
        <v>2.1800000000000002</v>
      </c>
      <c r="G338" s="12">
        <v>0.35</v>
      </c>
      <c r="H338" s="9" t="s">
        <v>23</v>
      </c>
      <c r="I338" s="9" t="s">
        <v>24</v>
      </c>
      <c r="J338" s="9" t="s">
        <v>25</v>
      </c>
      <c r="K338"/>
      <c r="U338"/>
      <c r="V338"/>
    </row>
    <row r="339" spans="1:22" ht="18" hidden="1">
      <c r="A339" s="9">
        <f>IF(Table1[[#This Row],[کد کوپ]]&lt;1,0,A338+1)</f>
        <v>338</v>
      </c>
      <c r="B339" s="9">
        <v>4615</v>
      </c>
      <c r="C339" s="10">
        <v>45441</v>
      </c>
      <c r="D339" s="11">
        <v>4.5</v>
      </c>
      <c r="E339" s="12">
        <v>2.1</v>
      </c>
      <c r="F339" s="12">
        <v>2.0299999999999998</v>
      </c>
      <c r="G339" s="12">
        <v>0.35</v>
      </c>
      <c r="H339" s="9" t="s">
        <v>23</v>
      </c>
      <c r="I339" s="9" t="s">
        <v>24</v>
      </c>
      <c r="J339" s="9" t="s">
        <v>25</v>
      </c>
      <c r="K339"/>
      <c r="U339"/>
      <c r="V339"/>
    </row>
    <row r="340" spans="1:22" ht="18" hidden="1">
      <c r="A340" s="9">
        <f>IF(Table1[[#This Row],[کد کوپ]]&lt;1,0,A339+1)</f>
        <v>339</v>
      </c>
      <c r="B340" s="9">
        <v>4616</v>
      </c>
      <c r="C340" s="10">
        <v>45441</v>
      </c>
      <c r="D340" s="11">
        <v>3.45</v>
      </c>
      <c r="E340" s="12">
        <v>2.0499999999999998</v>
      </c>
      <c r="F340" s="12">
        <v>1.55</v>
      </c>
      <c r="G340" s="12">
        <v>0.35</v>
      </c>
      <c r="H340" s="9" t="s">
        <v>23</v>
      </c>
      <c r="I340" s="9" t="s">
        <v>24</v>
      </c>
      <c r="J340" s="9" t="s">
        <v>25</v>
      </c>
      <c r="K340"/>
      <c r="U340"/>
      <c r="V340"/>
    </row>
    <row r="341" spans="1:22" ht="18" hidden="1">
      <c r="A341" s="9">
        <f>IF(Table1[[#This Row],[کد کوپ]]&lt;1,0,A340+1)</f>
        <v>340</v>
      </c>
      <c r="B341" s="9">
        <v>4617</v>
      </c>
      <c r="C341" s="10">
        <v>45441</v>
      </c>
      <c r="D341" s="11">
        <v>5.8</v>
      </c>
      <c r="E341" s="12">
        <v>3.15</v>
      </c>
      <c r="F341" s="12">
        <v>2.1</v>
      </c>
      <c r="G341" s="12">
        <v>0.3</v>
      </c>
      <c r="H341" s="9" t="s">
        <v>23</v>
      </c>
      <c r="I341" s="9" t="s">
        <v>24</v>
      </c>
      <c r="J341" s="9" t="s">
        <v>25</v>
      </c>
      <c r="K341"/>
      <c r="U341"/>
      <c r="V341"/>
    </row>
    <row r="342" spans="1:22" ht="18" hidden="1">
      <c r="A342" s="9">
        <f>IF(Table1[[#This Row],[کد کوپ]]&lt;1,0,A341+1)</f>
        <v>341</v>
      </c>
      <c r="B342" s="9">
        <v>4618</v>
      </c>
      <c r="C342" s="10">
        <v>45441</v>
      </c>
      <c r="D342" s="11">
        <v>6.5</v>
      </c>
      <c r="E342" s="12">
        <v>3.12</v>
      </c>
      <c r="F342" s="12">
        <v>2.1</v>
      </c>
      <c r="G342" s="12">
        <v>0.3</v>
      </c>
      <c r="H342" s="9" t="s">
        <v>23</v>
      </c>
      <c r="I342" s="9" t="s">
        <v>24</v>
      </c>
      <c r="J342" s="9" t="s">
        <v>25</v>
      </c>
      <c r="K342"/>
      <c r="U342"/>
      <c r="V342"/>
    </row>
    <row r="343" spans="1:22" ht="18" hidden="1">
      <c r="A343" s="9">
        <f>IF(Table1[[#This Row],[کد کوپ]]&lt;1,0,A342+1)</f>
        <v>342</v>
      </c>
      <c r="B343" s="9">
        <v>4619</v>
      </c>
      <c r="C343" s="10">
        <v>45441</v>
      </c>
      <c r="D343" s="11">
        <v>6.75</v>
      </c>
      <c r="E343" s="12">
        <v>3.15</v>
      </c>
      <c r="F343" s="12">
        <v>1.95</v>
      </c>
      <c r="G343" s="12">
        <v>0.4</v>
      </c>
      <c r="H343" s="9" t="s">
        <v>23</v>
      </c>
      <c r="I343" s="9" t="s">
        <v>24</v>
      </c>
      <c r="J343" s="9" t="s">
        <v>25</v>
      </c>
      <c r="K343"/>
      <c r="U343"/>
      <c r="V343"/>
    </row>
    <row r="344" spans="1:22" ht="18" hidden="1">
      <c r="A344" s="9">
        <f>IF(Table1[[#This Row],[کد کوپ]]&lt;1,0,A343+1)</f>
        <v>343</v>
      </c>
      <c r="B344" s="9">
        <v>4620</v>
      </c>
      <c r="C344" s="10">
        <v>45442</v>
      </c>
      <c r="D344" s="11">
        <v>14.32</v>
      </c>
      <c r="E344" s="12">
        <v>2.14</v>
      </c>
      <c r="F344" s="12">
        <v>1.63</v>
      </c>
      <c r="G344" s="12">
        <v>1.45</v>
      </c>
      <c r="H344" s="9" t="s">
        <v>9</v>
      </c>
      <c r="I344" s="9" t="s">
        <v>10</v>
      </c>
      <c r="J344" s="9" t="s">
        <v>11</v>
      </c>
      <c r="K344"/>
      <c r="U344"/>
      <c r="V344"/>
    </row>
    <row r="345" spans="1:22" ht="18" hidden="1">
      <c r="A345" s="9">
        <f>IF(Table1[[#This Row],[کد کوپ]]&lt;1,0,A344+1)</f>
        <v>344</v>
      </c>
      <c r="B345" s="9">
        <v>4621</v>
      </c>
      <c r="C345" s="10">
        <v>45442</v>
      </c>
      <c r="D345" s="11">
        <v>11.35</v>
      </c>
      <c r="E345" s="12">
        <v>2.5299999999999998</v>
      </c>
      <c r="F345" s="12">
        <v>1.33</v>
      </c>
      <c r="G345" s="12">
        <v>1.2</v>
      </c>
      <c r="H345" s="9" t="s">
        <v>9</v>
      </c>
      <c r="I345" s="9" t="s">
        <v>10</v>
      </c>
      <c r="J345" s="9" t="s">
        <v>11</v>
      </c>
      <c r="K345"/>
      <c r="U345"/>
      <c r="V345"/>
    </row>
    <row r="346" spans="1:22" ht="18" hidden="1">
      <c r="A346" s="9">
        <f>IF(Table1[[#This Row],[کد کوپ]]&lt;1,0,A345+1)</f>
        <v>345</v>
      </c>
      <c r="B346" s="9">
        <v>4622</v>
      </c>
      <c r="C346" s="10">
        <v>45443</v>
      </c>
      <c r="D346" s="11">
        <v>13.39</v>
      </c>
      <c r="E346" s="12">
        <v>2.15</v>
      </c>
      <c r="F346" s="12">
        <v>1.6</v>
      </c>
      <c r="G346" s="12">
        <v>1.4</v>
      </c>
      <c r="H346" s="9" t="s">
        <v>9</v>
      </c>
      <c r="I346" s="9" t="s">
        <v>10</v>
      </c>
      <c r="J346" s="9" t="s">
        <v>11</v>
      </c>
      <c r="K346"/>
      <c r="U346"/>
      <c r="V346"/>
    </row>
    <row r="347" spans="1:22" ht="18" hidden="1">
      <c r="A347" s="9">
        <f>IF(Table1[[#This Row],[کد کوپ]]&lt;1,0,A346+1)</f>
        <v>346</v>
      </c>
      <c r="B347" s="9">
        <v>4623</v>
      </c>
      <c r="C347" s="10">
        <v>45443</v>
      </c>
      <c r="D347" s="11">
        <v>13.08</v>
      </c>
      <c r="E347" s="12">
        <v>1.8</v>
      </c>
      <c r="F347" s="12">
        <v>1.65</v>
      </c>
      <c r="G347" s="12">
        <v>1.6</v>
      </c>
      <c r="H347" s="9" t="s">
        <v>9</v>
      </c>
      <c r="I347" s="9" t="s">
        <v>10</v>
      </c>
      <c r="J347" s="9" t="s">
        <v>11</v>
      </c>
      <c r="K347"/>
      <c r="U347"/>
      <c r="V347"/>
    </row>
    <row r="348" spans="1:22" ht="18" hidden="1">
      <c r="A348" s="9">
        <f>IF(Table1[[#This Row],[کد کوپ]]&lt;1,0,A347+1)</f>
        <v>347</v>
      </c>
      <c r="B348" s="9">
        <v>4624</v>
      </c>
      <c r="C348" s="10">
        <v>45443</v>
      </c>
      <c r="D348" s="11">
        <v>16.89</v>
      </c>
      <c r="E348" s="12">
        <v>2.17</v>
      </c>
      <c r="F348" s="12">
        <v>1.7</v>
      </c>
      <c r="G348" s="12">
        <v>1.65</v>
      </c>
      <c r="H348" s="9" t="s">
        <v>9</v>
      </c>
      <c r="I348" s="9" t="s">
        <v>10</v>
      </c>
      <c r="J348" s="9" t="s">
        <v>11</v>
      </c>
      <c r="K348"/>
      <c r="U348"/>
      <c r="V348"/>
    </row>
    <row r="349" spans="1:22" ht="18" hidden="1">
      <c r="A349" s="9">
        <f>IF(Table1[[#This Row],[کد کوپ]]&lt;1,0,A348+1)</f>
        <v>348</v>
      </c>
      <c r="B349" s="9">
        <v>4625</v>
      </c>
      <c r="C349" s="10">
        <v>45443</v>
      </c>
      <c r="D349" s="11">
        <v>9.43</v>
      </c>
      <c r="E349" s="12">
        <v>2.15</v>
      </c>
      <c r="F349" s="12">
        <v>1.25</v>
      </c>
      <c r="G349" s="12">
        <v>1.25</v>
      </c>
      <c r="H349" s="9" t="s">
        <v>9</v>
      </c>
      <c r="I349" s="9" t="s">
        <v>10</v>
      </c>
      <c r="J349" s="9" t="s">
        <v>11</v>
      </c>
      <c r="K349"/>
      <c r="U349"/>
      <c r="V349"/>
    </row>
    <row r="350" spans="1:22" ht="18" hidden="1">
      <c r="A350" s="9">
        <f>IF(Table1[[#This Row],[کد کوپ]]&lt;1,0,A349+1)</f>
        <v>349</v>
      </c>
      <c r="B350" s="9">
        <v>4626</v>
      </c>
      <c r="C350" s="10">
        <v>45443</v>
      </c>
      <c r="D350" s="11">
        <v>8.98</v>
      </c>
      <c r="E350" s="12">
        <v>1.8</v>
      </c>
      <c r="F350" s="12">
        <v>1.43</v>
      </c>
      <c r="G350" s="12">
        <v>1.3</v>
      </c>
      <c r="H350" s="9" t="s">
        <v>9</v>
      </c>
      <c r="I350" s="9" t="s">
        <v>10</v>
      </c>
      <c r="J350" s="9" t="s">
        <v>11</v>
      </c>
      <c r="K350"/>
      <c r="U350"/>
      <c r="V350"/>
    </row>
    <row r="351" spans="1:22" ht="18" hidden="1">
      <c r="A351" s="9">
        <f>IF(Table1[[#This Row],[کد کوپ]]&lt;1,0,A350+1)</f>
        <v>350</v>
      </c>
      <c r="B351" s="9">
        <v>4627</v>
      </c>
      <c r="C351" s="10">
        <v>45443</v>
      </c>
      <c r="D351" s="11">
        <v>18.37</v>
      </c>
      <c r="E351" s="12">
        <v>2.9</v>
      </c>
      <c r="F351" s="12">
        <v>1.53</v>
      </c>
      <c r="G351" s="12">
        <v>1.53</v>
      </c>
      <c r="H351" s="9" t="s">
        <v>9</v>
      </c>
      <c r="I351" s="9" t="s">
        <v>10</v>
      </c>
      <c r="J351" s="9" t="s">
        <v>11</v>
      </c>
      <c r="K351"/>
      <c r="U351"/>
      <c r="V351"/>
    </row>
    <row r="352" spans="1:22" ht="18" hidden="1">
      <c r="A352" s="9">
        <f>IF(Table1[[#This Row],[کد کوپ]]&lt;1,0,A351+1)</f>
        <v>351</v>
      </c>
      <c r="B352" s="9">
        <v>4628</v>
      </c>
      <c r="C352" s="10">
        <v>45443</v>
      </c>
      <c r="D352" s="11">
        <v>19.670000000000002</v>
      </c>
      <c r="E352" s="12">
        <v>2.9</v>
      </c>
      <c r="F352" s="12">
        <v>1.73</v>
      </c>
      <c r="G352" s="12">
        <v>1.4</v>
      </c>
      <c r="H352" s="9" t="s">
        <v>9</v>
      </c>
      <c r="I352" s="9" t="s">
        <v>10</v>
      </c>
      <c r="J352" s="9" t="s">
        <v>11</v>
      </c>
      <c r="K352"/>
      <c r="U352"/>
      <c r="V352"/>
    </row>
    <row r="353" spans="1:22" ht="18" hidden="1">
      <c r="A353" s="9">
        <f>IF(Table1[[#This Row],[کد کوپ]]&lt;1,0,A352+1)</f>
        <v>352</v>
      </c>
      <c r="B353" s="9">
        <v>4629</v>
      </c>
      <c r="C353" s="10">
        <v>45444</v>
      </c>
      <c r="D353" s="11">
        <v>7.4</v>
      </c>
      <c r="E353" s="12">
        <v>3</v>
      </c>
      <c r="F353" s="12">
        <v>2.0299999999999998</v>
      </c>
      <c r="G353" s="12">
        <v>0.35</v>
      </c>
      <c r="H353" s="9" t="s">
        <v>23</v>
      </c>
      <c r="I353" s="9" t="s">
        <v>24</v>
      </c>
      <c r="J353" s="9" t="s">
        <v>25</v>
      </c>
      <c r="K353"/>
      <c r="U353"/>
      <c r="V353"/>
    </row>
    <row r="354" spans="1:22" ht="18" hidden="1">
      <c r="A354" s="9">
        <f>IF(Table1[[#This Row],[کد کوپ]]&lt;1,0,A353+1)</f>
        <v>353</v>
      </c>
      <c r="B354" s="9">
        <v>4630</v>
      </c>
      <c r="C354" s="10">
        <v>45444</v>
      </c>
      <c r="D354" s="11">
        <v>7.4</v>
      </c>
      <c r="E354" s="12">
        <v>3.05</v>
      </c>
      <c r="F354" s="12">
        <v>2.11</v>
      </c>
      <c r="G354" s="12">
        <v>0.37</v>
      </c>
      <c r="H354" s="9" t="s">
        <v>23</v>
      </c>
      <c r="I354" s="9" t="s">
        <v>24</v>
      </c>
      <c r="J354" s="9" t="s">
        <v>25</v>
      </c>
      <c r="K354"/>
      <c r="U354"/>
      <c r="V354"/>
    </row>
    <row r="355" spans="1:22" ht="18" hidden="1">
      <c r="A355" s="9">
        <f>IF(Table1[[#This Row],[کد کوپ]]&lt;1,0,A354+1)</f>
        <v>354</v>
      </c>
      <c r="B355" s="9">
        <v>4631</v>
      </c>
      <c r="C355" s="10">
        <v>45444</v>
      </c>
      <c r="D355" s="11">
        <v>5</v>
      </c>
      <c r="E355" s="12">
        <v>3.11</v>
      </c>
      <c r="F355" s="12">
        <v>1.4</v>
      </c>
      <c r="G355" s="12">
        <v>0.3</v>
      </c>
      <c r="H355" s="9" t="s">
        <v>23</v>
      </c>
      <c r="I355" s="9" t="s">
        <v>24</v>
      </c>
      <c r="J355" s="9" t="s">
        <v>25</v>
      </c>
      <c r="K355"/>
      <c r="U355"/>
      <c r="V355"/>
    </row>
    <row r="356" spans="1:22" ht="18" hidden="1">
      <c r="A356" s="9">
        <f>IF(Table1[[#This Row],[کد کوپ]]&lt;1,0,A355+1)</f>
        <v>355</v>
      </c>
      <c r="B356" s="9">
        <v>4632</v>
      </c>
      <c r="C356" s="10">
        <v>45444</v>
      </c>
      <c r="D356" s="11">
        <v>4.8</v>
      </c>
      <c r="E356" s="12">
        <v>2.7</v>
      </c>
      <c r="F356" s="12">
        <v>2</v>
      </c>
      <c r="G356" s="12">
        <v>0.3</v>
      </c>
      <c r="H356" s="9" t="s">
        <v>23</v>
      </c>
      <c r="I356" s="9" t="s">
        <v>24</v>
      </c>
      <c r="J356" s="9" t="s">
        <v>25</v>
      </c>
      <c r="K356"/>
      <c r="U356"/>
      <c r="V356"/>
    </row>
    <row r="357" spans="1:22" ht="18" hidden="1">
      <c r="A357" s="9">
        <f>IF(Table1[[#This Row],[کد کوپ]]&lt;1,0,A356+1)</f>
        <v>356</v>
      </c>
      <c r="B357" s="9">
        <v>4633</v>
      </c>
      <c r="C357" s="10">
        <v>45445</v>
      </c>
      <c r="D357" s="11">
        <v>19.100000000000001</v>
      </c>
      <c r="E357" s="12">
        <v>2.4500000000000002</v>
      </c>
      <c r="F357" s="12">
        <v>1.72</v>
      </c>
      <c r="G357" s="12">
        <v>1.6</v>
      </c>
      <c r="H357" s="9" t="s">
        <v>9</v>
      </c>
      <c r="I357" s="9" t="s">
        <v>10</v>
      </c>
      <c r="J357" s="9" t="s">
        <v>11</v>
      </c>
      <c r="K357"/>
      <c r="U357"/>
      <c r="V357"/>
    </row>
    <row r="358" spans="1:22" ht="18" hidden="1">
      <c r="A358" s="9">
        <f>IF(Table1[[#This Row],[کد کوپ]]&lt;1,0,A357+1)</f>
        <v>357</v>
      </c>
      <c r="B358" s="9">
        <v>4634</v>
      </c>
      <c r="C358" s="10">
        <v>45445</v>
      </c>
      <c r="D358" s="11">
        <v>7.45</v>
      </c>
      <c r="E358" s="12">
        <v>3.03</v>
      </c>
      <c r="F358" s="12">
        <v>1.94</v>
      </c>
      <c r="G358" s="12">
        <v>0.45</v>
      </c>
      <c r="H358" s="9" t="s">
        <v>23</v>
      </c>
      <c r="I358" s="9" t="s">
        <v>24</v>
      </c>
      <c r="J358" s="9" t="s">
        <v>25</v>
      </c>
      <c r="K358"/>
      <c r="U358"/>
      <c r="V358"/>
    </row>
    <row r="359" spans="1:22" ht="18" hidden="1">
      <c r="A359" s="9">
        <f>IF(Table1[[#This Row],[کد کوپ]]&lt;1,0,A358+1)</f>
        <v>358</v>
      </c>
      <c r="B359" s="9">
        <v>4635</v>
      </c>
      <c r="C359" s="10">
        <v>45445</v>
      </c>
      <c r="D359" s="11">
        <v>6.9</v>
      </c>
      <c r="E359" s="12">
        <v>3</v>
      </c>
      <c r="F359" s="12">
        <v>1.97</v>
      </c>
      <c r="G359" s="12">
        <v>0.38</v>
      </c>
      <c r="H359" s="9" t="s">
        <v>23</v>
      </c>
      <c r="I359" s="9" t="s">
        <v>24</v>
      </c>
      <c r="J359" s="9" t="s">
        <v>25</v>
      </c>
      <c r="K359"/>
      <c r="U359"/>
      <c r="V359"/>
    </row>
    <row r="360" spans="1:22" ht="18" hidden="1">
      <c r="A360" s="9">
        <f>IF(Table1[[#This Row],[کد کوپ]]&lt;1,0,A359+1)</f>
        <v>359</v>
      </c>
      <c r="B360" s="9">
        <v>4636</v>
      </c>
      <c r="C360" s="10">
        <v>45445</v>
      </c>
      <c r="D360" s="11">
        <v>11.2</v>
      </c>
      <c r="E360" s="12">
        <v>3.2</v>
      </c>
      <c r="F360" s="12">
        <v>2.1</v>
      </c>
      <c r="G360" s="12">
        <v>0.6</v>
      </c>
      <c r="H360" s="9" t="s">
        <v>23</v>
      </c>
      <c r="I360" s="9" t="s">
        <v>24</v>
      </c>
      <c r="J360" s="9" t="s">
        <v>25</v>
      </c>
      <c r="K360"/>
      <c r="U360"/>
      <c r="V360"/>
    </row>
    <row r="361" spans="1:22" ht="18" hidden="1">
      <c r="A361" s="9">
        <f>IF(Table1[[#This Row],[کد کوپ]]&lt;1,0,A360+1)</f>
        <v>360</v>
      </c>
      <c r="B361" s="9">
        <v>4637</v>
      </c>
      <c r="C361" s="10">
        <v>45445</v>
      </c>
      <c r="D361" s="11">
        <v>2.2000000000000002</v>
      </c>
      <c r="E361" s="12">
        <v>2.0499999999999998</v>
      </c>
      <c r="F361" s="12">
        <v>1.1499999999999999</v>
      </c>
      <c r="G361" s="12">
        <v>0.25</v>
      </c>
      <c r="H361" s="9" t="s">
        <v>23</v>
      </c>
      <c r="I361" s="9" t="s">
        <v>24</v>
      </c>
      <c r="J361" s="9" t="s">
        <v>25</v>
      </c>
      <c r="K361"/>
      <c r="U361"/>
      <c r="V361"/>
    </row>
    <row r="362" spans="1:22" ht="18" hidden="1">
      <c r="A362" s="9">
        <f>IF(Table1[[#This Row],[کد کوپ]]&lt;1,0,A361+1)</f>
        <v>361</v>
      </c>
      <c r="B362" s="9">
        <v>4638</v>
      </c>
      <c r="C362" s="10">
        <v>45448</v>
      </c>
      <c r="D362" s="11">
        <v>26.6</v>
      </c>
      <c r="E362" s="12">
        <v>2.7</v>
      </c>
      <c r="F362" s="12">
        <v>1.9</v>
      </c>
      <c r="G362" s="12">
        <v>1.8</v>
      </c>
      <c r="H362" s="9" t="s">
        <v>54</v>
      </c>
      <c r="I362" s="9" t="s">
        <v>10</v>
      </c>
      <c r="J362" s="9" t="s">
        <v>45</v>
      </c>
      <c r="K362"/>
      <c r="U362"/>
      <c r="V362"/>
    </row>
    <row r="363" spans="1:22" ht="18" hidden="1">
      <c r="A363" s="9">
        <f>IF(Table1[[#This Row],[کد کوپ]]&lt;1,0,A362+1)</f>
        <v>362</v>
      </c>
      <c r="B363" s="9">
        <v>4639</v>
      </c>
      <c r="C363" s="10">
        <v>45448</v>
      </c>
      <c r="D363" s="11">
        <v>14.3</v>
      </c>
      <c r="E363" s="12">
        <v>2.2000000000000002</v>
      </c>
      <c r="F363" s="12">
        <v>1.8</v>
      </c>
      <c r="G363" s="12">
        <v>1.3</v>
      </c>
      <c r="H363" s="9" t="s">
        <v>9</v>
      </c>
      <c r="I363" s="9" t="s">
        <v>10</v>
      </c>
      <c r="J363" s="9" t="s">
        <v>11</v>
      </c>
      <c r="K363"/>
      <c r="U363"/>
      <c r="V363"/>
    </row>
    <row r="364" spans="1:22" ht="18" hidden="1">
      <c r="A364" s="9">
        <f>IF(Table1[[#This Row],[کد کوپ]]&lt;1,0,A363+1)</f>
        <v>363</v>
      </c>
      <c r="B364" s="9">
        <v>4640</v>
      </c>
      <c r="C364" s="10">
        <v>45448</v>
      </c>
      <c r="D364" s="11">
        <v>10.15</v>
      </c>
      <c r="E364" s="12">
        <v>1.75</v>
      </c>
      <c r="F364" s="12">
        <v>1.5</v>
      </c>
      <c r="G364" s="12">
        <v>1.35</v>
      </c>
      <c r="H364" s="9" t="s">
        <v>9</v>
      </c>
      <c r="I364" s="9" t="s">
        <v>10</v>
      </c>
      <c r="J364" s="9" t="s">
        <v>11</v>
      </c>
      <c r="K364"/>
      <c r="U364"/>
      <c r="V364"/>
    </row>
    <row r="365" spans="1:22" ht="18" hidden="1">
      <c r="A365" s="9">
        <f>IF(Table1[[#This Row],[کد کوپ]]&lt;1,0,A364+1)</f>
        <v>364</v>
      </c>
      <c r="B365" s="9">
        <v>4641</v>
      </c>
      <c r="C365" s="10">
        <v>45448</v>
      </c>
      <c r="D365" s="11">
        <v>21.86</v>
      </c>
      <c r="E365" s="12">
        <v>2.2999999999999998</v>
      </c>
      <c r="F365" s="12">
        <v>1.93</v>
      </c>
      <c r="G365" s="12">
        <v>1.8</v>
      </c>
      <c r="H365" s="9" t="s">
        <v>9</v>
      </c>
      <c r="I365" s="9" t="s">
        <v>10</v>
      </c>
      <c r="J365" s="9" t="s">
        <v>11</v>
      </c>
      <c r="K365"/>
      <c r="U365"/>
      <c r="V365"/>
    </row>
    <row r="366" spans="1:22" ht="18" hidden="1">
      <c r="A366" s="9">
        <f>IF(Table1[[#This Row],[کد کوپ]]&lt;1,0,A365+1)</f>
        <v>365</v>
      </c>
      <c r="B366" s="9">
        <v>4642</v>
      </c>
      <c r="C366" s="10">
        <v>45449</v>
      </c>
      <c r="D366" s="11">
        <v>8</v>
      </c>
      <c r="E366" s="12">
        <v>2.17</v>
      </c>
      <c r="F366" s="12">
        <v>2.15</v>
      </c>
      <c r="G366" s="12">
        <v>0.6</v>
      </c>
      <c r="H366" s="9" t="s">
        <v>23</v>
      </c>
      <c r="I366" s="9" t="s">
        <v>24</v>
      </c>
      <c r="J366" s="9" t="s">
        <v>55</v>
      </c>
      <c r="K366"/>
      <c r="U366"/>
      <c r="V366"/>
    </row>
    <row r="367" spans="1:22" ht="18" hidden="1">
      <c r="A367" s="9">
        <f>IF(Table1[[#This Row],[کد کوپ]]&lt;1,0,A366+1)</f>
        <v>366</v>
      </c>
      <c r="B367" s="9">
        <v>4643</v>
      </c>
      <c r="C367" s="10">
        <v>45449</v>
      </c>
      <c r="D367" s="11">
        <v>15.3</v>
      </c>
      <c r="E367" s="12">
        <v>2.35</v>
      </c>
      <c r="F367" s="12">
        <v>1.75</v>
      </c>
      <c r="G367" s="12">
        <v>1.35</v>
      </c>
      <c r="H367" s="9" t="s">
        <v>23</v>
      </c>
      <c r="I367" s="9" t="s">
        <v>24</v>
      </c>
      <c r="J367" s="9" t="s">
        <v>55</v>
      </c>
      <c r="K367"/>
      <c r="U367"/>
      <c r="V367"/>
    </row>
    <row r="368" spans="1:22" ht="18" hidden="1">
      <c r="A368" s="9">
        <f>IF(Table1[[#This Row],[کد کوپ]]&lt;1,0,A367+1)</f>
        <v>367</v>
      </c>
      <c r="B368" s="9">
        <v>4644</v>
      </c>
      <c r="C368" s="10">
        <v>45451</v>
      </c>
      <c r="D368" s="11">
        <v>3.4</v>
      </c>
      <c r="E368" s="12">
        <v>1.7</v>
      </c>
      <c r="F368" s="12">
        <v>1.43</v>
      </c>
      <c r="G368" s="12">
        <v>0.52</v>
      </c>
      <c r="H368" s="9" t="s">
        <v>23</v>
      </c>
      <c r="I368" s="9" t="s">
        <v>24</v>
      </c>
      <c r="J368" s="9" t="s">
        <v>55</v>
      </c>
      <c r="K368"/>
      <c r="U368"/>
      <c r="V368"/>
    </row>
    <row r="369" spans="1:22" ht="18" hidden="1">
      <c r="A369" s="9">
        <f>IF(Table1[[#This Row],[کد کوپ]]&lt;1,0,A368+1)</f>
        <v>368</v>
      </c>
      <c r="B369" s="9">
        <v>4645</v>
      </c>
      <c r="C369" s="10">
        <v>45451</v>
      </c>
      <c r="D369" s="11">
        <v>2.8</v>
      </c>
      <c r="E369" s="12">
        <v>1.37</v>
      </c>
      <c r="F369" s="12">
        <v>1.27</v>
      </c>
      <c r="G369" s="12">
        <v>0.55000000000000004</v>
      </c>
      <c r="H369" s="9" t="s">
        <v>23</v>
      </c>
      <c r="I369" s="9" t="s">
        <v>24</v>
      </c>
      <c r="J369" s="9" t="s">
        <v>55</v>
      </c>
      <c r="K369"/>
      <c r="U369"/>
      <c r="V369"/>
    </row>
    <row r="370" spans="1:22" ht="18" hidden="1">
      <c r="A370" s="9">
        <f>IF(Table1[[#This Row],[کد کوپ]]&lt;1,0,A369+1)</f>
        <v>369</v>
      </c>
      <c r="B370" s="9">
        <v>4646</v>
      </c>
      <c r="C370" s="10">
        <v>45451</v>
      </c>
      <c r="D370" s="11">
        <v>19.399999999999999</v>
      </c>
      <c r="E370" s="12">
        <v>2.54</v>
      </c>
      <c r="F370" s="12">
        <v>1.95</v>
      </c>
      <c r="G370" s="12">
        <v>1.54</v>
      </c>
      <c r="H370" s="9" t="s">
        <v>23</v>
      </c>
      <c r="I370" s="9" t="s">
        <v>24</v>
      </c>
      <c r="J370" s="9" t="s">
        <v>55</v>
      </c>
      <c r="K370"/>
      <c r="U370"/>
      <c r="V370"/>
    </row>
    <row r="371" spans="1:22" ht="18" hidden="1">
      <c r="A371" s="9">
        <f>IF(Table1[[#This Row],[کد کوپ]]&lt;1,0,A370+1)</f>
        <v>370</v>
      </c>
      <c r="B371" s="9">
        <v>4647</v>
      </c>
      <c r="C371" s="10">
        <v>45454</v>
      </c>
      <c r="D371" s="11">
        <v>18.3</v>
      </c>
      <c r="E371" s="12">
        <v>2.7</v>
      </c>
      <c r="F371" s="12">
        <v>1.6</v>
      </c>
      <c r="G371" s="12">
        <v>1.4</v>
      </c>
      <c r="H371" s="9" t="s">
        <v>9</v>
      </c>
      <c r="I371" s="9" t="s">
        <v>10</v>
      </c>
      <c r="J371" s="9" t="s">
        <v>11</v>
      </c>
      <c r="K371"/>
      <c r="U371"/>
      <c r="V371"/>
    </row>
    <row r="372" spans="1:22" ht="18" hidden="1">
      <c r="A372" s="9">
        <f>IF(Table1[[#This Row],[کد کوپ]]&lt;1,0,A371+1)</f>
        <v>371</v>
      </c>
      <c r="B372" s="9">
        <v>4648</v>
      </c>
      <c r="C372" s="10">
        <v>45455</v>
      </c>
      <c r="D372" s="11">
        <v>13.91</v>
      </c>
      <c r="E372" s="12">
        <v>2.25</v>
      </c>
      <c r="F372" s="12">
        <v>1.1499999999999999</v>
      </c>
      <c r="G372" s="12">
        <v>1.2</v>
      </c>
      <c r="H372" s="9" t="s">
        <v>9</v>
      </c>
      <c r="I372" s="9" t="s">
        <v>10</v>
      </c>
      <c r="J372" s="9" t="s">
        <v>11</v>
      </c>
      <c r="K372"/>
      <c r="U372"/>
      <c r="V372"/>
    </row>
    <row r="373" spans="1:22" ht="18" hidden="1">
      <c r="A373" s="9">
        <f>IF(Table1[[#This Row],[کد کوپ]]&lt;1,0,A372+1)</f>
        <v>372</v>
      </c>
      <c r="B373" s="9">
        <v>4649</v>
      </c>
      <c r="C373" s="10">
        <v>45455</v>
      </c>
      <c r="D373" s="11">
        <v>11.88</v>
      </c>
      <c r="E373" s="12">
        <v>2.1</v>
      </c>
      <c r="F373" s="12">
        <v>1.9</v>
      </c>
      <c r="G373" s="12">
        <v>1.1000000000000001</v>
      </c>
      <c r="H373" s="9" t="s">
        <v>9</v>
      </c>
      <c r="I373" s="9" t="s">
        <v>10</v>
      </c>
      <c r="J373" s="9" t="s">
        <v>11</v>
      </c>
      <c r="K373"/>
      <c r="U373"/>
      <c r="V373"/>
    </row>
    <row r="374" spans="1:22" ht="18" hidden="1">
      <c r="A374" s="9">
        <f>IF(Table1[[#This Row],[کد کوپ]]&lt;1,0,A373+1)</f>
        <v>373</v>
      </c>
      <c r="B374" s="9">
        <v>4650</v>
      </c>
      <c r="C374" s="10">
        <v>45452</v>
      </c>
      <c r="D374" s="11">
        <v>17.100000000000001</v>
      </c>
      <c r="E374" s="12">
        <v>2.2999999999999998</v>
      </c>
      <c r="F374" s="12">
        <v>1.7</v>
      </c>
      <c r="G374" s="12">
        <v>1.6</v>
      </c>
      <c r="H374" s="9" t="s">
        <v>9</v>
      </c>
      <c r="I374" s="9" t="s">
        <v>10</v>
      </c>
      <c r="J374" s="9" t="s">
        <v>11</v>
      </c>
      <c r="K374"/>
      <c r="U374"/>
      <c r="V374"/>
    </row>
    <row r="375" spans="1:22" ht="18" hidden="1">
      <c r="A375" s="9">
        <f>IF(Table1[[#This Row],[کد کوپ]]&lt;1,0,A374+1)</f>
        <v>374</v>
      </c>
      <c r="B375" s="9">
        <v>4651</v>
      </c>
      <c r="C375" s="10">
        <v>45452</v>
      </c>
      <c r="D375" s="11">
        <v>18.899999999999999</v>
      </c>
      <c r="E375" s="12">
        <v>2.1</v>
      </c>
      <c r="F375" s="12">
        <v>1.8</v>
      </c>
      <c r="G375" s="12">
        <v>1.7</v>
      </c>
      <c r="H375" s="9" t="s">
        <v>9</v>
      </c>
      <c r="I375" s="9" t="s">
        <v>10</v>
      </c>
      <c r="J375" s="9" t="s">
        <v>11</v>
      </c>
      <c r="K375"/>
      <c r="U375"/>
      <c r="V375"/>
    </row>
    <row r="376" spans="1:22" ht="18" hidden="1">
      <c r="A376" s="9">
        <f>IF(Table1[[#This Row],[کد کوپ]]&lt;1,0,A375+1)</f>
        <v>375</v>
      </c>
      <c r="B376" s="9">
        <v>4652</v>
      </c>
      <c r="C376" s="10">
        <v>45452</v>
      </c>
      <c r="D376" s="11">
        <v>19</v>
      </c>
      <c r="E376" s="12">
        <v>2.85</v>
      </c>
      <c r="F376" s="12">
        <v>1.85</v>
      </c>
      <c r="G376" s="12">
        <v>1.25</v>
      </c>
      <c r="H376" s="9" t="s">
        <v>9</v>
      </c>
      <c r="I376" s="9" t="s">
        <v>10</v>
      </c>
      <c r="J376" s="9" t="s">
        <v>11</v>
      </c>
      <c r="K376"/>
      <c r="U376"/>
      <c r="V376"/>
    </row>
    <row r="377" spans="1:22" ht="18" hidden="1">
      <c r="A377" s="9">
        <f>IF(Table1[[#This Row],[کد کوپ]]&lt;1,0,A376+1)</f>
        <v>376</v>
      </c>
      <c r="B377" s="9">
        <v>4653</v>
      </c>
      <c r="C377" s="10">
        <v>45460</v>
      </c>
      <c r="D377" s="11">
        <v>23.67</v>
      </c>
      <c r="E377" s="12">
        <v>2.7</v>
      </c>
      <c r="F377" s="12">
        <v>1.87</v>
      </c>
      <c r="G377" s="12">
        <v>1.65</v>
      </c>
      <c r="H377" s="9" t="s">
        <v>9</v>
      </c>
      <c r="I377" s="9" t="s">
        <v>10</v>
      </c>
      <c r="J377" s="9" t="s">
        <v>11</v>
      </c>
      <c r="K377"/>
      <c r="U377"/>
      <c r="V377"/>
    </row>
    <row r="378" spans="1:22" ht="18" hidden="1">
      <c r="A378" s="9">
        <f>IF(Table1[[#This Row],[کد کوپ]]&lt;1,0,A377+1)</f>
        <v>377</v>
      </c>
      <c r="B378" s="9">
        <v>4654</v>
      </c>
      <c r="C378" s="10">
        <v>45460</v>
      </c>
      <c r="D378" s="11">
        <v>23.15</v>
      </c>
      <c r="E378" s="12">
        <v>3</v>
      </c>
      <c r="F378" s="12">
        <v>1.68</v>
      </c>
      <c r="G378" s="12">
        <v>1.7</v>
      </c>
      <c r="H378" s="9" t="s">
        <v>9</v>
      </c>
      <c r="I378" s="9" t="s">
        <v>10</v>
      </c>
      <c r="J378" s="9" t="s">
        <v>11</v>
      </c>
      <c r="K378"/>
      <c r="U378"/>
      <c r="V378"/>
    </row>
    <row r="379" spans="1:22" ht="18" hidden="1">
      <c r="A379" s="9">
        <f>IF(Table1[[#This Row],[کد کوپ]]&lt;1,0,A378+1)</f>
        <v>378</v>
      </c>
      <c r="B379" s="9">
        <v>4655</v>
      </c>
      <c r="C379" s="10">
        <v>45460</v>
      </c>
      <c r="D379" s="11">
        <v>18.05</v>
      </c>
      <c r="E379" s="12">
        <v>2.1800000000000002</v>
      </c>
      <c r="F379" s="12">
        <v>1.85</v>
      </c>
      <c r="G379" s="12">
        <v>1.65</v>
      </c>
      <c r="H379" s="9" t="s">
        <v>9</v>
      </c>
      <c r="I379" s="9" t="s">
        <v>10</v>
      </c>
      <c r="J379" s="9" t="s">
        <v>11</v>
      </c>
      <c r="K379"/>
      <c r="U379"/>
      <c r="V379"/>
    </row>
    <row r="380" spans="1:22" ht="18" hidden="1">
      <c r="A380" s="9">
        <f>IF(Table1[[#This Row],[کد کوپ]]&lt;1,0,A379+1)</f>
        <v>379</v>
      </c>
      <c r="B380" s="9">
        <v>4656</v>
      </c>
      <c r="C380" s="10">
        <v>45460</v>
      </c>
      <c r="D380" s="11">
        <v>18.2</v>
      </c>
      <c r="E380" s="12">
        <v>2.4</v>
      </c>
      <c r="F380" s="12">
        <v>1.8</v>
      </c>
      <c r="G380" s="12">
        <v>1.53</v>
      </c>
      <c r="H380" s="9" t="s">
        <v>9</v>
      </c>
      <c r="I380" s="9" t="s">
        <v>10</v>
      </c>
      <c r="J380" s="9" t="s">
        <v>11</v>
      </c>
      <c r="K380"/>
      <c r="U380"/>
      <c r="V380"/>
    </row>
    <row r="381" spans="1:22" ht="18" hidden="1">
      <c r="A381" s="9">
        <f>IF(Table1[[#This Row],[کد کوپ]]&lt;1,0,A380+1)</f>
        <v>380</v>
      </c>
      <c r="B381" s="9">
        <v>4657</v>
      </c>
      <c r="C381" s="10">
        <v>45460</v>
      </c>
      <c r="D381" s="11">
        <v>17.149999999999999</v>
      </c>
      <c r="E381" s="12">
        <v>2.23</v>
      </c>
      <c r="F381" s="12">
        <v>1.78</v>
      </c>
      <c r="G381" s="12">
        <v>1.5</v>
      </c>
      <c r="H381" s="9" t="s">
        <v>9</v>
      </c>
      <c r="I381" s="9" t="s">
        <v>10</v>
      </c>
      <c r="J381" s="9" t="s">
        <v>11</v>
      </c>
      <c r="K381"/>
      <c r="U381"/>
      <c r="V381"/>
    </row>
    <row r="382" spans="1:22" ht="18" hidden="1">
      <c r="A382" s="9">
        <f>IF(Table1[[#This Row],[کد کوپ]]&lt;1,0,A381+1)</f>
        <v>381</v>
      </c>
      <c r="B382" s="9">
        <v>4658</v>
      </c>
      <c r="C382" s="10">
        <v>45461</v>
      </c>
      <c r="D382" s="11">
        <v>10</v>
      </c>
      <c r="E382" s="12">
        <v>2</v>
      </c>
      <c r="F382" s="12">
        <v>1.5</v>
      </c>
      <c r="G382" s="12">
        <v>1.2</v>
      </c>
      <c r="H382" s="9" t="s">
        <v>9</v>
      </c>
      <c r="I382" s="9" t="s">
        <v>10</v>
      </c>
      <c r="J382" s="9" t="s">
        <v>11</v>
      </c>
      <c r="K382"/>
      <c r="U382"/>
      <c r="V382"/>
    </row>
    <row r="383" spans="1:22" ht="18" hidden="1">
      <c r="A383" s="9">
        <f>IF(Table1[[#This Row],[کد کوپ]]&lt;1,0,A382+1)</f>
        <v>382</v>
      </c>
      <c r="B383" s="9">
        <v>4659</v>
      </c>
      <c r="C383" s="10">
        <v>45461</v>
      </c>
      <c r="D383" s="11">
        <v>15</v>
      </c>
      <c r="E383" s="12">
        <v>2</v>
      </c>
      <c r="F383" s="12">
        <v>1.7</v>
      </c>
      <c r="G383" s="12">
        <v>1.55</v>
      </c>
      <c r="H383" s="9" t="s">
        <v>9</v>
      </c>
      <c r="I383" s="9" t="s">
        <v>10</v>
      </c>
      <c r="J383" s="9" t="s">
        <v>11</v>
      </c>
      <c r="K383"/>
      <c r="U383"/>
      <c r="V383"/>
    </row>
    <row r="384" spans="1:22" ht="18" hidden="1">
      <c r="A384" s="9">
        <f>IF(Table1[[#This Row],[کد کوپ]]&lt;1,0,A383+1)</f>
        <v>383</v>
      </c>
      <c r="B384" s="9">
        <v>4660</v>
      </c>
      <c r="C384" s="10">
        <v>45461</v>
      </c>
      <c r="D384" s="11">
        <v>23.6</v>
      </c>
      <c r="E384" s="12">
        <v>2.4500000000000002</v>
      </c>
      <c r="F384" s="12">
        <v>2</v>
      </c>
      <c r="G384" s="12">
        <v>1.8</v>
      </c>
      <c r="H384" s="9" t="s">
        <v>9</v>
      </c>
      <c r="I384" s="9" t="s">
        <v>10</v>
      </c>
      <c r="J384" s="9" t="s">
        <v>11</v>
      </c>
      <c r="K384"/>
      <c r="U384"/>
      <c r="V384"/>
    </row>
    <row r="385" spans="1:22" ht="18" hidden="1">
      <c r="A385" s="9">
        <f>IF(Table1[[#This Row],[کد کوپ]]&lt;1,0,A384+1)</f>
        <v>384</v>
      </c>
      <c r="B385" s="9">
        <v>4661</v>
      </c>
      <c r="C385" s="10">
        <v>45466</v>
      </c>
      <c r="D385" s="11">
        <v>3.6</v>
      </c>
      <c r="E385" s="12">
        <v>1.7</v>
      </c>
      <c r="F385" s="12">
        <v>1.45</v>
      </c>
      <c r="G385" s="12">
        <v>0.4</v>
      </c>
      <c r="H385" s="9" t="s">
        <v>23</v>
      </c>
      <c r="I385" s="9" t="s">
        <v>24</v>
      </c>
      <c r="J385" s="9" t="s">
        <v>25</v>
      </c>
      <c r="K385"/>
      <c r="U385"/>
      <c r="V385"/>
    </row>
    <row r="386" spans="1:22" ht="18" hidden="1">
      <c r="A386" s="9">
        <f>IF(Table1[[#This Row],[کد کوپ]]&lt;1,0,A385+1)</f>
        <v>385</v>
      </c>
      <c r="B386" s="9">
        <v>4662</v>
      </c>
      <c r="C386" s="10">
        <v>45466</v>
      </c>
      <c r="D386" s="11">
        <v>4</v>
      </c>
      <c r="E386" s="12">
        <v>2</v>
      </c>
      <c r="F386" s="12">
        <v>1.7</v>
      </c>
      <c r="G386" s="12">
        <v>0.4</v>
      </c>
      <c r="H386" s="9" t="s">
        <v>23</v>
      </c>
      <c r="I386" s="9" t="s">
        <v>24</v>
      </c>
      <c r="J386" s="9" t="s">
        <v>25</v>
      </c>
      <c r="K386"/>
      <c r="U386"/>
      <c r="V386"/>
    </row>
    <row r="387" spans="1:22" ht="18" hidden="1">
      <c r="A387" s="9">
        <f>IF(Table1[[#This Row],[کد کوپ]]&lt;1,0,A386+1)</f>
        <v>386</v>
      </c>
      <c r="B387" s="9">
        <v>4663</v>
      </c>
      <c r="C387" s="10">
        <v>45466</v>
      </c>
      <c r="D387" s="11">
        <v>4.4000000000000004</v>
      </c>
      <c r="E387" s="12">
        <v>2</v>
      </c>
      <c r="F387" s="12">
        <v>1.8</v>
      </c>
      <c r="G387" s="12">
        <v>0.4</v>
      </c>
      <c r="H387" s="9" t="s">
        <v>23</v>
      </c>
      <c r="I387" s="9" t="s">
        <v>24</v>
      </c>
      <c r="J387" s="9" t="s">
        <v>25</v>
      </c>
      <c r="K387"/>
      <c r="U387"/>
      <c r="V387"/>
    </row>
    <row r="388" spans="1:22" ht="18" hidden="1">
      <c r="A388" s="9">
        <f>IF(Table1[[#This Row],[کد کوپ]]&lt;1,0,A387+1)</f>
        <v>387</v>
      </c>
      <c r="B388" s="9">
        <v>4664</v>
      </c>
      <c r="C388" s="10">
        <v>45466</v>
      </c>
      <c r="D388" s="11">
        <v>2.8</v>
      </c>
      <c r="E388" s="12">
        <v>2.2000000000000002</v>
      </c>
      <c r="F388" s="12">
        <v>1.3</v>
      </c>
      <c r="G388" s="12">
        <v>0.35</v>
      </c>
      <c r="H388" s="9" t="s">
        <v>23</v>
      </c>
      <c r="I388" s="9" t="s">
        <v>24</v>
      </c>
      <c r="J388" s="9" t="s">
        <v>25</v>
      </c>
      <c r="K388"/>
      <c r="U388"/>
      <c r="V388"/>
    </row>
    <row r="389" spans="1:22" ht="18" hidden="1">
      <c r="A389" s="9">
        <f>IF(Table1[[#This Row],[کد کوپ]]&lt;1,0,A388+1)</f>
        <v>388</v>
      </c>
      <c r="B389" s="9">
        <v>4665</v>
      </c>
      <c r="C389" s="10">
        <v>45466</v>
      </c>
      <c r="D389" s="11">
        <v>5.8</v>
      </c>
      <c r="E389" s="12">
        <v>2.65</v>
      </c>
      <c r="F389" s="12">
        <v>1.95</v>
      </c>
      <c r="G389" s="12">
        <v>0.3</v>
      </c>
      <c r="H389" s="9" t="s">
        <v>23</v>
      </c>
      <c r="I389" s="9" t="s">
        <v>24</v>
      </c>
      <c r="J389" s="9" t="s">
        <v>25</v>
      </c>
      <c r="K389"/>
      <c r="U389"/>
      <c r="V389"/>
    </row>
    <row r="390" spans="1:22" ht="18" hidden="1">
      <c r="A390" s="9">
        <f>IF(Table1[[#This Row],[کد کوپ]]&lt;1,0,A389+1)</f>
        <v>389</v>
      </c>
      <c r="B390" s="9">
        <v>4666</v>
      </c>
      <c r="C390" s="10">
        <v>45466</v>
      </c>
      <c r="D390" s="11">
        <v>3</v>
      </c>
      <c r="E390" s="12">
        <v>1.85</v>
      </c>
      <c r="F390" s="12">
        <v>1.65</v>
      </c>
      <c r="G390" s="12">
        <v>0.35</v>
      </c>
      <c r="H390" s="9" t="s">
        <v>23</v>
      </c>
      <c r="I390" s="9" t="s">
        <v>24</v>
      </c>
      <c r="J390" s="9" t="s">
        <v>25</v>
      </c>
      <c r="K390"/>
      <c r="U390"/>
      <c r="V390"/>
    </row>
    <row r="391" spans="1:22" ht="18" hidden="1">
      <c r="A391" s="9">
        <f>IF(Table1[[#This Row],[کد کوپ]]&lt;1,0,A390+1)</f>
        <v>390</v>
      </c>
      <c r="B391" s="9">
        <v>4667</v>
      </c>
      <c r="C391" s="10">
        <v>45466</v>
      </c>
      <c r="D391" s="11">
        <v>25.85</v>
      </c>
      <c r="E391" s="12">
        <v>3.08</v>
      </c>
      <c r="F391" s="12">
        <v>1.8</v>
      </c>
      <c r="G391" s="12">
        <v>1.7</v>
      </c>
      <c r="H391" s="9"/>
      <c r="I391" s="9" t="s">
        <v>10</v>
      </c>
      <c r="J391" s="9" t="s">
        <v>45</v>
      </c>
      <c r="K391"/>
      <c r="U391"/>
      <c r="V391"/>
    </row>
    <row r="392" spans="1:22" ht="18" hidden="1">
      <c r="A392" s="9">
        <f>IF(Table1[[#This Row],[کد کوپ]]&lt;1,0,A391+1)</f>
        <v>391</v>
      </c>
      <c r="B392" s="9">
        <v>4668</v>
      </c>
      <c r="C392" s="10">
        <v>45466</v>
      </c>
      <c r="D392" s="11">
        <v>28.2</v>
      </c>
      <c r="E392" s="12">
        <v>3.08</v>
      </c>
      <c r="F392" s="12">
        <v>1.9</v>
      </c>
      <c r="G392" s="12">
        <v>1.8</v>
      </c>
      <c r="H392" s="9"/>
      <c r="I392" s="9" t="s">
        <v>10</v>
      </c>
      <c r="J392" s="9" t="s">
        <v>45</v>
      </c>
      <c r="K392"/>
      <c r="U392"/>
      <c r="V392"/>
    </row>
    <row r="393" spans="1:22" ht="18" hidden="1">
      <c r="A393" s="9">
        <f>IF(Table1[[#This Row],[کد کوپ]]&lt;1,0,A392+1)</f>
        <v>392</v>
      </c>
      <c r="B393" s="9">
        <v>4669</v>
      </c>
      <c r="C393" s="10">
        <v>45469</v>
      </c>
      <c r="D393" s="11">
        <v>5.2</v>
      </c>
      <c r="E393" s="12">
        <v>3.3</v>
      </c>
      <c r="F393" s="12">
        <v>1.7</v>
      </c>
      <c r="G393" s="12">
        <v>0.27</v>
      </c>
      <c r="H393" s="9" t="s">
        <v>23</v>
      </c>
      <c r="I393" s="9" t="s">
        <v>24</v>
      </c>
      <c r="J393" s="9" t="s">
        <v>25</v>
      </c>
      <c r="K393"/>
      <c r="U393"/>
      <c r="V393"/>
    </row>
    <row r="394" spans="1:22" ht="18" hidden="1">
      <c r="A394" s="9">
        <f>IF(Table1[[#This Row],[کد کوپ]]&lt;1,0,A393+1)</f>
        <v>393</v>
      </c>
      <c r="B394" s="9">
        <v>4670</v>
      </c>
      <c r="C394" s="10">
        <v>45469</v>
      </c>
      <c r="D394" s="11">
        <v>6.2</v>
      </c>
      <c r="E394" s="12">
        <v>3.06</v>
      </c>
      <c r="F394" s="12">
        <v>2.1</v>
      </c>
      <c r="G394" s="12">
        <v>0.37</v>
      </c>
      <c r="H394" s="9" t="s">
        <v>23</v>
      </c>
      <c r="I394" s="9" t="s">
        <v>24</v>
      </c>
      <c r="J394" s="9" t="s">
        <v>25</v>
      </c>
      <c r="K394"/>
      <c r="U394"/>
      <c r="V394"/>
    </row>
    <row r="395" spans="1:22" ht="18" hidden="1">
      <c r="A395" s="9">
        <f>IF(Table1[[#This Row],[کد کوپ]]&lt;1,0,A394+1)</f>
        <v>394</v>
      </c>
      <c r="B395" s="9">
        <v>4671</v>
      </c>
      <c r="C395" s="10">
        <v>45469</v>
      </c>
      <c r="D395" s="11">
        <v>19.600000000000001</v>
      </c>
      <c r="E395" s="12">
        <v>2.4</v>
      </c>
      <c r="F395" s="12">
        <v>1.85</v>
      </c>
      <c r="G395" s="12">
        <v>1.75</v>
      </c>
      <c r="H395" s="9" t="s">
        <v>23</v>
      </c>
      <c r="I395" s="9" t="s">
        <v>34</v>
      </c>
      <c r="J395" s="9" t="s">
        <v>25</v>
      </c>
      <c r="K395"/>
      <c r="U395"/>
      <c r="V395"/>
    </row>
    <row r="396" spans="1:22" ht="18" hidden="1">
      <c r="A396" s="9">
        <f>IF(Table1[[#This Row],[کد کوپ]]&lt;1,0,A395+1)</f>
        <v>395</v>
      </c>
      <c r="B396" s="9">
        <v>4672</v>
      </c>
      <c r="C396" s="10">
        <v>45469</v>
      </c>
      <c r="D396" s="11">
        <v>5.4</v>
      </c>
      <c r="E396" s="12">
        <v>2.9</v>
      </c>
      <c r="F396" s="12">
        <v>1.95</v>
      </c>
      <c r="G396" s="12">
        <v>0.3</v>
      </c>
      <c r="H396" s="9" t="s">
        <v>23</v>
      </c>
      <c r="I396" s="9" t="s">
        <v>24</v>
      </c>
      <c r="J396" s="9" t="s">
        <v>25</v>
      </c>
      <c r="K396"/>
      <c r="U396"/>
      <c r="V396"/>
    </row>
    <row r="397" spans="1:22" ht="18" hidden="1">
      <c r="A397" s="9">
        <f>IF(Table1[[#This Row],[کد کوپ]]&lt;1,0,A396+1)</f>
        <v>396</v>
      </c>
      <c r="B397" s="9">
        <v>4673</v>
      </c>
      <c r="C397" s="10">
        <v>45469</v>
      </c>
      <c r="D397" s="11">
        <v>7.75</v>
      </c>
      <c r="E397" s="12">
        <v>3.15</v>
      </c>
      <c r="F397" s="12">
        <v>2.2000000000000002</v>
      </c>
      <c r="G397" s="12">
        <v>0.4</v>
      </c>
      <c r="H397" s="9" t="s">
        <v>23</v>
      </c>
      <c r="I397" s="9" t="s">
        <v>24</v>
      </c>
      <c r="J397" s="9" t="s">
        <v>25</v>
      </c>
      <c r="K397"/>
      <c r="U397"/>
      <c r="V397"/>
    </row>
    <row r="398" spans="1:22" ht="18" hidden="1">
      <c r="A398" s="9">
        <f>IF(Table1[[#This Row],[کد کوپ]]&lt;1,0,A397+1)</f>
        <v>397</v>
      </c>
      <c r="B398" s="9">
        <v>4674</v>
      </c>
      <c r="C398" s="10">
        <v>45469</v>
      </c>
      <c r="D398" s="11">
        <v>6.65</v>
      </c>
      <c r="E398" s="12">
        <v>3</v>
      </c>
      <c r="F398" s="12">
        <v>2.0499999999999998</v>
      </c>
      <c r="G398" s="12">
        <v>0.35</v>
      </c>
      <c r="H398" s="9" t="s">
        <v>23</v>
      </c>
      <c r="I398" s="9" t="s">
        <v>24</v>
      </c>
      <c r="J398" s="9" t="s">
        <v>25</v>
      </c>
      <c r="K398"/>
      <c r="U398"/>
      <c r="V398"/>
    </row>
    <row r="399" spans="1:22" ht="18" hidden="1">
      <c r="A399" s="9">
        <f>IF(Table1[[#This Row],[کد کوپ]]&lt;1,0,A398+1)</f>
        <v>398</v>
      </c>
      <c r="B399" s="9">
        <v>4675</v>
      </c>
      <c r="C399" s="10">
        <v>45469</v>
      </c>
      <c r="D399" s="11">
        <v>7.25</v>
      </c>
      <c r="E399" s="12">
        <v>3.04</v>
      </c>
      <c r="F399" s="12">
        <v>2.1</v>
      </c>
      <c r="G399" s="12">
        <v>0.35</v>
      </c>
      <c r="H399" s="9" t="s">
        <v>23</v>
      </c>
      <c r="I399" s="9" t="s">
        <v>24</v>
      </c>
      <c r="J399" s="9" t="s">
        <v>25</v>
      </c>
      <c r="K399"/>
      <c r="U399"/>
      <c r="V399"/>
    </row>
    <row r="400" spans="1:22" ht="18" hidden="1">
      <c r="A400" s="9">
        <f>IF(Table1[[#This Row],[کد کوپ]]&lt;1,0,A399+1)</f>
        <v>399</v>
      </c>
      <c r="B400" s="9">
        <v>4676</v>
      </c>
      <c r="C400" s="10">
        <v>45469</v>
      </c>
      <c r="D400" s="11">
        <v>5.5</v>
      </c>
      <c r="E400" s="12">
        <v>2.25</v>
      </c>
      <c r="F400" s="12">
        <v>1.8</v>
      </c>
      <c r="G400" s="12">
        <v>0.5</v>
      </c>
      <c r="H400" s="9" t="s">
        <v>23</v>
      </c>
      <c r="I400" s="9" t="s">
        <v>24</v>
      </c>
      <c r="J400" s="9" t="s">
        <v>25</v>
      </c>
      <c r="K400"/>
      <c r="U400"/>
      <c r="V400"/>
    </row>
    <row r="401" spans="1:22" ht="18" hidden="1">
      <c r="A401" s="9">
        <f>IF(Table1[[#This Row],[کد کوپ]]&lt;1,0,A400+1)</f>
        <v>400</v>
      </c>
      <c r="B401" s="9">
        <v>4677</v>
      </c>
      <c r="C401" s="10">
        <v>45469</v>
      </c>
      <c r="D401" s="11">
        <v>4.5999999999999996</v>
      </c>
      <c r="E401" s="12">
        <v>2.7</v>
      </c>
      <c r="F401" s="12">
        <v>1.65</v>
      </c>
      <c r="G401" s="12">
        <v>0.37</v>
      </c>
      <c r="H401" s="9" t="s">
        <v>23</v>
      </c>
      <c r="I401" s="9" t="s">
        <v>24</v>
      </c>
      <c r="J401" s="9" t="s">
        <v>25</v>
      </c>
      <c r="K401"/>
      <c r="U401"/>
      <c r="V401"/>
    </row>
    <row r="402" spans="1:22" ht="18" hidden="1">
      <c r="A402" s="9">
        <f>IF(Table1[[#This Row],[کد کوپ]]&lt;1,0,A401+1)</f>
        <v>401</v>
      </c>
      <c r="B402" s="9">
        <v>4678</v>
      </c>
      <c r="C402" s="10">
        <v>45469</v>
      </c>
      <c r="D402" s="11">
        <v>7.2</v>
      </c>
      <c r="E402" s="12">
        <v>3.1</v>
      </c>
      <c r="F402" s="12">
        <v>2.1</v>
      </c>
      <c r="G402" s="12">
        <v>0.36</v>
      </c>
      <c r="H402" s="9" t="s">
        <v>23</v>
      </c>
      <c r="I402" s="9" t="s">
        <v>24</v>
      </c>
      <c r="J402" s="9" t="s">
        <v>25</v>
      </c>
      <c r="K402"/>
      <c r="U402"/>
      <c r="V402"/>
    </row>
    <row r="403" spans="1:22" ht="18" hidden="1">
      <c r="A403" s="9">
        <f>IF(Table1[[#This Row],[کد کوپ]]&lt;1,0,A402+1)</f>
        <v>402</v>
      </c>
      <c r="B403" s="9">
        <v>4679</v>
      </c>
      <c r="C403" s="10">
        <v>45469</v>
      </c>
      <c r="D403" s="11">
        <v>4</v>
      </c>
      <c r="E403" s="12">
        <v>2.0499999999999998</v>
      </c>
      <c r="F403" s="12">
        <v>2</v>
      </c>
      <c r="G403" s="12">
        <v>0.4</v>
      </c>
      <c r="H403" s="9" t="s">
        <v>23</v>
      </c>
      <c r="I403" s="9" t="s">
        <v>24</v>
      </c>
      <c r="J403" s="9" t="s">
        <v>25</v>
      </c>
      <c r="K403"/>
      <c r="U403"/>
      <c r="V403"/>
    </row>
    <row r="404" spans="1:22" ht="18" hidden="1">
      <c r="A404" s="9">
        <f>IF(Table1[[#This Row],[کد کوپ]]&lt;1,0,A403+1)</f>
        <v>403</v>
      </c>
      <c r="B404" s="9">
        <v>4680</v>
      </c>
      <c r="C404" s="10">
        <v>45469</v>
      </c>
      <c r="D404" s="11">
        <v>2.7</v>
      </c>
      <c r="E404" s="12">
        <v>2.1</v>
      </c>
      <c r="F404" s="12">
        <v>2.0499999999999998</v>
      </c>
      <c r="G404" s="12">
        <v>0.2</v>
      </c>
      <c r="H404" s="9" t="s">
        <v>23</v>
      </c>
      <c r="I404" s="9" t="s">
        <v>24</v>
      </c>
      <c r="J404" s="9" t="s">
        <v>25</v>
      </c>
      <c r="K404"/>
      <c r="U404"/>
      <c r="V404"/>
    </row>
    <row r="405" spans="1:22" ht="18" hidden="1">
      <c r="A405" s="9">
        <f>IF(Table1[[#This Row],[کد کوپ]]&lt;1,0,A404+1)</f>
        <v>404</v>
      </c>
      <c r="B405" s="9">
        <v>4681</v>
      </c>
      <c r="C405" s="10">
        <v>45469</v>
      </c>
      <c r="D405" s="11">
        <v>4.3</v>
      </c>
      <c r="E405" s="12">
        <v>2.0499999999999998</v>
      </c>
      <c r="F405" s="12">
        <v>2.0499999999999998</v>
      </c>
      <c r="G405" s="12">
        <v>0.35</v>
      </c>
      <c r="H405" s="9" t="s">
        <v>23</v>
      </c>
      <c r="I405" s="9" t="s">
        <v>24</v>
      </c>
      <c r="J405" s="9" t="s">
        <v>25</v>
      </c>
      <c r="K405"/>
      <c r="U405"/>
      <c r="V405"/>
    </row>
    <row r="406" spans="1:22" ht="18" hidden="1">
      <c r="A406" s="9">
        <f>IF(Table1[[#This Row],[کد کوپ]]&lt;1,0,A405+1)</f>
        <v>405</v>
      </c>
      <c r="B406" s="9">
        <v>4682</v>
      </c>
      <c r="C406" s="10">
        <v>45470</v>
      </c>
      <c r="D406" s="11">
        <v>28.4</v>
      </c>
      <c r="E406" s="12">
        <v>2.75</v>
      </c>
      <c r="F406" s="12">
        <v>2.15</v>
      </c>
      <c r="G406" s="12">
        <v>2.1</v>
      </c>
      <c r="H406" s="9" t="s">
        <v>23</v>
      </c>
      <c r="I406" s="9" t="s">
        <v>24</v>
      </c>
      <c r="J406" s="9" t="s">
        <v>25</v>
      </c>
      <c r="K406"/>
      <c r="U406"/>
      <c r="V406"/>
    </row>
    <row r="407" spans="1:22" ht="18" hidden="1">
      <c r="A407" s="9">
        <f>IF(Table1[[#This Row],[کد کوپ]]&lt;1,0,A406+1)</f>
        <v>406</v>
      </c>
      <c r="B407" s="9">
        <v>4683</v>
      </c>
      <c r="C407" s="10">
        <v>45474</v>
      </c>
      <c r="D407" s="11">
        <v>6.6</v>
      </c>
      <c r="E407" s="12">
        <v>1.6</v>
      </c>
      <c r="F407" s="12">
        <v>1.5</v>
      </c>
      <c r="G407" s="12">
        <v>1</v>
      </c>
      <c r="H407" s="9" t="s">
        <v>9</v>
      </c>
      <c r="I407" s="9" t="s">
        <v>10</v>
      </c>
      <c r="J407" s="9" t="s">
        <v>11</v>
      </c>
      <c r="K407"/>
      <c r="U407"/>
      <c r="V407"/>
    </row>
    <row r="408" spans="1:22" ht="18" hidden="1">
      <c r="A408" s="9">
        <f>IF(Table1[[#This Row],[کد کوپ]]&lt;1,0,A407+1)</f>
        <v>407</v>
      </c>
      <c r="B408" s="9">
        <v>4684</v>
      </c>
      <c r="C408" s="10">
        <v>45474</v>
      </c>
      <c r="D408" s="11">
        <v>18.95</v>
      </c>
      <c r="E408" s="12">
        <v>2.65</v>
      </c>
      <c r="F408" s="12">
        <v>1.7</v>
      </c>
      <c r="G408" s="12">
        <v>1.57</v>
      </c>
      <c r="H408" s="9" t="s">
        <v>56</v>
      </c>
      <c r="I408" s="9" t="s">
        <v>10</v>
      </c>
      <c r="J408" s="9" t="s">
        <v>11</v>
      </c>
      <c r="K408"/>
      <c r="U408"/>
      <c r="V408"/>
    </row>
    <row r="409" spans="1:22" ht="18" hidden="1">
      <c r="A409" s="9">
        <f>IF(Table1[[#This Row],[کد کوپ]]&lt;1,0,A408+1)</f>
        <v>408</v>
      </c>
      <c r="B409" s="9">
        <v>4685</v>
      </c>
      <c r="C409" s="10">
        <v>45474</v>
      </c>
      <c r="D409" s="11">
        <v>6.5</v>
      </c>
      <c r="E409" s="12">
        <v>2</v>
      </c>
      <c r="F409" s="12">
        <v>1.35</v>
      </c>
      <c r="G409" s="12">
        <v>0.95</v>
      </c>
      <c r="H409" s="9" t="s">
        <v>56</v>
      </c>
      <c r="I409" s="9" t="s">
        <v>10</v>
      </c>
      <c r="J409" s="9" t="s">
        <v>11</v>
      </c>
      <c r="K409"/>
      <c r="U409"/>
      <c r="V409"/>
    </row>
    <row r="410" spans="1:22" ht="18" hidden="1">
      <c r="A410" s="9">
        <f>IF(Table1[[#This Row],[کد کوپ]]&lt;1,0,A409+1)</f>
        <v>409</v>
      </c>
      <c r="B410" s="9">
        <v>4686</v>
      </c>
      <c r="C410" s="10">
        <v>45475</v>
      </c>
      <c r="D410" s="11">
        <v>9.5299999999999994</v>
      </c>
      <c r="E410" s="12">
        <v>2.0499999999999998</v>
      </c>
      <c r="F410" s="12">
        <v>1.5</v>
      </c>
      <c r="G410" s="12">
        <v>1.1000000000000001</v>
      </c>
      <c r="H410" s="9" t="s">
        <v>56</v>
      </c>
      <c r="I410" s="9" t="s">
        <v>10</v>
      </c>
      <c r="J410" s="9" t="s">
        <v>11</v>
      </c>
      <c r="K410"/>
      <c r="U410"/>
      <c r="V410"/>
    </row>
    <row r="411" spans="1:22" ht="18" hidden="1">
      <c r="A411" s="9">
        <f>IF(Table1[[#This Row],[کد کوپ]]&lt;1,0,A410+1)</f>
        <v>410</v>
      </c>
      <c r="B411" s="9">
        <v>4687</v>
      </c>
      <c r="C411" s="10">
        <v>45475</v>
      </c>
      <c r="D411" s="11">
        <v>10</v>
      </c>
      <c r="E411" s="12">
        <v>2.0499999999999998</v>
      </c>
      <c r="F411" s="12">
        <v>1.5</v>
      </c>
      <c r="G411" s="12">
        <v>1.2</v>
      </c>
      <c r="H411" s="9" t="s">
        <v>56</v>
      </c>
      <c r="I411" s="9" t="s">
        <v>10</v>
      </c>
      <c r="J411" s="9" t="s">
        <v>11</v>
      </c>
      <c r="K411"/>
      <c r="U411"/>
      <c r="V411"/>
    </row>
    <row r="412" spans="1:22" ht="18" hidden="1">
      <c r="A412" s="9">
        <f>IF(Table1[[#This Row],[کد کوپ]]&lt;1,0,A411+1)</f>
        <v>411</v>
      </c>
      <c r="B412" s="9">
        <v>4688</v>
      </c>
      <c r="C412" s="10">
        <v>45475</v>
      </c>
      <c r="D412" s="11">
        <v>9</v>
      </c>
      <c r="E412" s="12">
        <v>1.75</v>
      </c>
      <c r="F412" s="12">
        <v>1.4</v>
      </c>
      <c r="G412" s="12">
        <v>1.3</v>
      </c>
      <c r="H412" s="9" t="s">
        <v>9</v>
      </c>
      <c r="I412" s="9" t="s">
        <v>10</v>
      </c>
      <c r="J412" s="9" t="s">
        <v>11</v>
      </c>
      <c r="K412"/>
      <c r="U412"/>
      <c r="V412"/>
    </row>
    <row r="413" spans="1:22" ht="18" hidden="1">
      <c r="A413" s="9">
        <f>IF(Table1[[#This Row],[کد کوپ]]&lt;1,0,A412+1)</f>
        <v>412</v>
      </c>
      <c r="B413" s="9">
        <v>4689</v>
      </c>
      <c r="C413" s="10">
        <v>45475</v>
      </c>
      <c r="D413" s="11">
        <v>16.86</v>
      </c>
      <c r="E413" s="12">
        <v>2.6</v>
      </c>
      <c r="F413" s="12">
        <v>1.7</v>
      </c>
      <c r="G413" s="12">
        <v>1.4</v>
      </c>
      <c r="H413" s="9" t="s">
        <v>56</v>
      </c>
      <c r="I413" s="9" t="s">
        <v>10</v>
      </c>
      <c r="J413" s="9" t="s">
        <v>11</v>
      </c>
      <c r="K413"/>
      <c r="U413"/>
      <c r="V413"/>
    </row>
    <row r="414" spans="1:22" ht="18" hidden="1">
      <c r="A414" s="9">
        <f>IF(Table1[[#This Row],[کد کوپ]]&lt;1,0,A413+1)</f>
        <v>413</v>
      </c>
      <c r="B414" s="9">
        <v>4690</v>
      </c>
      <c r="C414" s="10">
        <v>45476</v>
      </c>
      <c r="D414" s="11">
        <v>12</v>
      </c>
      <c r="E414" s="12">
        <v>2.1</v>
      </c>
      <c r="F414" s="12">
        <v>1.7</v>
      </c>
      <c r="G414" s="12">
        <v>1.2</v>
      </c>
      <c r="H414" s="9" t="s">
        <v>56</v>
      </c>
      <c r="I414" s="9" t="s">
        <v>10</v>
      </c>
      <c r="J414" s="9" t="s">
        <v>11</v>
      </c>
      <c r="K414"/>
      <c r="U414"/>
      <c r="V414"/>
    </row>
    <row r="415" spans="1:22" ht="18" hidden="1">
      <c r="A415" s="9">
        <f>IF(Table1[[#This Row],[کد کوپ]]&lt;1,0,A414+1)</f>
        <v>414</v>
      </c>
      <c r="B415" s="9">
        <v>4691</v>
      </c>
      <c r="C415" s="10">
        <v>45476</v>
      </c>
      <c r="D415" s="11">
        <v>13.05</v>
      </c>
      <c r="E415" s="12">
        <v>1.85</v>
      </c>
      <c r="F415" s="12">
        <v>1.65</v>
      </c>
      <c r="G415" s="12">
        <v>1.5</v>
      </c>
      <c r="H415" s="9" t="s">
        <v>9</v>
      </c>
      <c r="I415" s="9" t="s">
        <v>10</v>
      </c>
      <c r="J415" s="9" t="s">
        <v>11</v>
      </c>
      <c r="K415"/>
      <c r="U415"/>
      <c r="V415"/>
    </row>
    <row r="416" spans="1:22" ht="18" hidden="1">
      <c r="A416" s="9">
        <f>IF(Table1[[#This Row],[کد کوپ]]&lt;1,0,A415+1)</f>
        <v>415</v>
      </c>
      <c r="B416" s="9">
        <v>4692</v>
      </c>
      <c r="C416" s="10">
        <v>45476</v>
      </c>
      <c r="D416" s="11">
        <v>18.399999999999999</v>
      </c>
      <c r="E416" s="12">
        <v>2.2000000000000002</v>
      </c>
      <c r="F416" s="12">
        <v>1.8</v>
      </c>
      <c r="G416" s="12">
        <v>1.6</v>
      </c>
      <c r="H416" s="9" t="s">
        <v>56</v>
      </c>
      <c r="I416" s="9" t="s">
        <v>10</v>
      </c>
      <c r="J416" s="9" t="s">
        <v>11</v>
      </c>
      <c r="K416"/>
      <c r="U416"/>
      <c r="V416"/>
    </row>
    <row r="417" spans="1:22" ht="18" hidden="1">
      <c r="A417" s="9">
        <f>IF(Table1[[#This Row],[کد کوپ]]&lt;1,0,A416+1)</f>
        <v>416</v>
      </c>
      <c r="B417" s="9">
        <v>4693</v>
      </c>
      <c r="C417" s="10">
        <v>45479</v>
      </c>
      <c r="D417" s="11">
        <v>21.61</v>
      </c>
      <c r="E417" s="12">
        <v>2.97</v>
      </c>
      <c r="F417" s="12">
        <v>1.67</v>
      </c>
      <c r="G417" s="12">
        <v>1.57</v>
      </c>
      <c r="H417" s="9" t="s">
        <v>9</v>
      </c>
      <c r="I417" s="9" t="s">
        <v>10</v>
      </c>
      <c r="J417" s="9" t="s">
        <v>11</v>
      </c>
      <c r="K417"/>
      <c r="U417"/>
      <c r="V417"/>
    </row>
    <row r="418" spans="1:22" ht="18" hidden="1">
      <c r="A418" s="9">
        <f>IF(Table1[[#This Row],[کد کوپ]]&lt;1,0,A417+1)</f>
        <v>417</v>
      </c>
      <c r="B418" s="9">
        <v>4694</v>
      </c>
      <c r="C418" s="10">
        <v>45480</v>
      </c>
      <c r="D418" s="11">
        <v>19.100000000000001</v>
      </c>
      <c r="E418" s="12">
        <v>2.6</v>
      </c>
      <c r="F418" s="12">
        <v>1.7</v>
      </c>
      <c r="G418" s="12">
        <v>1.55</v>
      </c>
      <c r="H418" s="9" t="s">
        <v>57</v>
      </c>
      <c r="I418" s="9" t="s">
        <v>10</v>
      </c>
      <c r="J418" s="9" t="s">
        <v>22</v>
      </c>
      <c r="K418"/>
      <c r="U418"/>
      <c r="V418"/>
    </row>
    <row r="419" spans="1:22" ht="18" hidden="1">
      <c r="A419" s="9">
        <f>IF(Table1[[#This Row],[کد کوپ]]&lt;1,0,A418+1)</f>
        <v>418</v>
      </c>
      <c r="B419" s="9">
        <v>4695</v>
      </c>
      <c r="C419" s="10">
        <v>45480</v>
      </c>
      <c r="D419" s="11">
        <v>8.9</v>
      </c>
      <c r="E419" s="12">
        <v>3.1</v>
      </c>
      <c r="F419" s="12">
        <v>1.85</v>
      </c>
      <c r="G419" s="12">
        <v>0.55000000000000004</v>
      </c>
      <c r="H419" s="9" t="s">
        <v>57</v>
      </c>
      <c r="I419" s="9" t="s">
        <v>10</v>
      </c>
      <c r="J419" s="9" t="s">
        <v>22</v>
      </c>
      <c r="K419"/>
      <c r="U419"/>
      <c r="V419"/>
    </row>
    <row r="420" spans="1:22" ht="18" hidden="1">
      <c r="A420" s="9">
        <f>IF(Table1[[#This Row],[کد کوپ]]&lt;1,0,A419+1)</f>
        <v>419</v>
      </c>
      <c r="B420" s="9">
        <v>4696</v>
      </c>
      <c r="C420" s="10">
        <v>45481</v>
      </c>
      <c r="D420" s="11">
        <v>10.7</v>
      </c>
      <c r="E420" s="12">
        <v>2.72</v>
      </c>
      <c r="F420" s="12">
        <v>1.52</v>
      </c>
      <c r="G420" s="12">
        <v>0.92</v>
      </c>
      <c r="H420" s="9" t="s">
        <v>57</v>
      </c>
      <c r="I420" s="9" t="s">
        <v>10</v>
      </c>
      <c r="J420" s="9" t="s">
        <v>22</v>
      </c>
      <c r="K420"/>
      <c r="U420"/>
      <c r="V420"/>
    </row>
    <row r="421" spans="1:22" ht="18" hidden="1">
      <c r="A421" s="9">
        <f>IF(Table1[[#This Row],[کد کوپ]]&lt;1,0,A420+1)</f>
        <v>420</v>
      </c>
      <c r="B421" s="9">
        <v>4697</v>
      </c>
      <c r="C421" s="10">
        <v>45481</v>
      </c>
      <c r="D421" s="11">
        <v>17.3</v>
      </c>
      <c r="E421" s="12">
        <v>2.4</v>
      </c>
      <c r="F421" s="12">
        <v>1.9</v>
      </c>
      <c r="G421" s="12">
        <v>1.4</v>
      </c>
      <c r="H421" s="9" t="s">
        <v>57</v>
      </c>
      <c r="I421" s="9" t="s">
        <v>10</v>
      </c>
      <c r="J421" s="9" t="s">
        <v>22</v>
      </c>
      <c r="K421"/>
      <c r="U421"/>
      <c r="V421"/>
    </row>
    <row r="422" spans="1:22" ht="18" hidden="1">
      <c r="A422" s="9">
        <f>IF(Table1[[#This Row],[کد کوپ]]&lt;1,0,A421+1)</f>
        <v>421</v>
      </c>
      <c r="B422" s="9">
        <v>4698</v>
      </c>
      <c r="C422" s="10">
        <v>45481</v>
      </c>
      <c r="D422" s="11">
        <v>10.5</v>
      </c>
      <c r="E422" s="12">
        <v>1.75</v>
      </c>
      <c r="F422" s="12">
        <v>1.75</v>
      </c>
      <c r="G422" s="12">
        <v>1.2</v>
      </c>
      <c r="H422" s="9" t="s">
        <v>57</v>
      </c>
      <c r="I422" s="9" t="s">
        <v>10</v>
      </c>
      <c r="J422" s="9" t="s">
        <v>22</v>
      </c>
      <c r="K422"/>
      <c r="U422"/>
      <c r="V422"/>
    </row>
    <row r="423" spans="1:22" ht="18" hidden="1">
      <c r="A423" s="9">
        <f>IF(Table1[[#This Row],[کد کوپ]]&lt;1,0,A422+1)</f>
        <v>422</v>
      </c>
      <c r="B423" s="9">
        <v>4699</v>
      </c>
      <c r="C423" s="10">
        <v>45481</v>
      </c>
      <c r="D423" s="11">
        <v>6</v>
      </c>
      <c r="E423" s="12">
        <v>2</v>
      </c>
      <c r="F423" s="12">
        <v>1.95</v>
      </c>
      <c r="G423" s="12">
        <v>0.5</v>
      </c>
      <c r="H423" s="9" t="s">
        <v>57</v>
      </c>
      <c r="I423" s="9" t="s">
        <v>10</v>
      </c>
      <c r="J423" s="9" t="s">
        <v>22</v>
      </c>
      <c r="K423"/>
      <c r="U423"/>
      <c r="V423"/>
    </row>
    <row r="424" spans="1:22" ht="18" hidden="1">
      <c r="A424" s="9">
        <f>IF(Table1[[#This Row],[کد کوپ]]&lt;1,0,A423+1)</f>
        <v>423</v>
      </c>
      <c r="B424" s="9">
        <v>4700</v>
      </c>
      <c r="C424" s="10">
        <v>45481</v>
      </c>
      <c r="D424" s="11">
        <v>8.4</v>
      </c>
      <c r="E424" s="12">
        <v>2.8</v>
      </c>
      <c r="F424" s="12">
        <v>1.95</v>
      </c>
      <c r="G424" s="12">
        <v>0.6</v>
      </c>
      <c r="H424" s="9" t="s">
        <v>57</v>
      </c>
      <c r="I424" s="9" t="s">
        <v>10</v>
      </c>
      <c r="J424" s="9" t="s">
        <v>22</v>
      </c>
      <c r="K424"/>
      <c r="U424"/>
      <c r="V424"/>
    </row>
    <row r="425" spans="1:22" ht="18" hidden="1">
      <c r="A425" s="9">
        <f>IF(Table1[[#This Row],[کد کوپ]]&lt;1,0,A424+1)</f>
        <v>424</v>
      </c>
      <c r="B425" s="9">
        <v>4701</v>
      </c>
      <c r="C425" s="10">
        <v>45481</v>
      </c>
      <c r="D425" s="11">
        <v>7.85</v>
      </c>
      <c r="E425" s="12">
        <v>2.6</v>
      </c>
      <c r="F425" s="12">
        <v>1.8</v>
      </c>
      <c r="G425" s="12">
        <v>0.6</v>
      </c>
      <c r="H425" s="9" t="s">
        <v>57</v>
      </c>
      <c r="I425" s="9" t="s">
        <v>10</v>
      </c>
      <c r="J425" s="9" t="s">
        <v>22</v>
      </c>
      <c r="K425"/>
      <c r="U425"/>
      <c r="V425"/>
    </row>
    <row r="426" spans="1:22" ht="18" hidden="1">
      <c r="A426" s="9">
        <f>IF(Table1[[#This Row],[کد کوپ]]&lt;1,0,A425+1)</f>
        <v>425</v>
      </c>
      <c r="B426" s="9">
        <v>4702</v>
      </c>
      <c r="C426" s="10">
        <v>45481</v>
      </c>
      <c r="D426" s="11">
        <v>6.26</v>
      </c>
      <c r="E426" s="12">
        <v>2.95</v>
      </c>
      <c r="F426" s="12">
        <v>1.75</v>
      </c>
      <c r="G426" s="12">
        <v>0.45</v>
      </c>
      <c r="H426" s="9" t="s">
        <v>57</v>
      </c>
      <c r="I426" s="9" t="s">
        <v>10</v>
      </c>
      <c r="J426" s="9" t="s">
        <v>22</v>
      </c>
      <c r="K426"/>
      <c r="U426"/>
      <c r="V426"/>
    </row>
    <row r="427" spans="1:22" ht="18" hidden="1">
      <c r="A427" s="9">
        <f>IF(Table1[[#This Row],[کد کوپ]]&lt;1,0,A426+1)</f>
        <v>426</v>
      </c>
      <c r="B427" s="9">
        <v>4703</v>
      </c>
      <c r="C427" s="10">
        <v>45481</v>
      </c>
      <c r="D427" s="11">
        <v>11.4</v>
      </c>
      <c r="E427" s="12">
        <v>3</v>
      </c>
      <c r="F427" s="12">
        <v>2</v>
      </c>
      <c r="G427" s="12">
        <v>0.7</v>
      </c>
      <c r="H427" s="9" t="s">
        <v>57</v>
      </c>
      <c r="I427" s="9" t="s">
        <v>10</v>
      </c>
      <c r="J427" s="9" t="s">
        <v>22</v>
      </c>
      <c r="K427"/>
      <c r="U427"/>
      <c r="V427"/>
    </row>
    <row r="428" spans="1:22" ht="18" hidden="1">
      <c r="A428" s="9">
        <f>IF(Table1[[#This Row],[کد کوپ]]&lt;1,0,A427+1)</f>
        <v>427</v>
      </c>
      <c r="B428" s="9">
        <v>4704</v>
      </c>
      <c r="C428" s="10">
        <v>45481</v>
      </c>
      <c r="D428" s="11">
        <v>8.15</v>
      </c>
      <c r="E428" s="12">
        <v>3</v>
      </c>
      <c r="F428" s="12">
        <v>1.95</v>
      </c>
      <c r="G428" s="12">
        <v>0.5</v>
      </c>
      <c r="H428" s="9" t="s">
        <v>57</v>
      </c>
      <c r="I428" s="9" t="s">
        <v>10</v>
      </c>
      <c r="J428" s="9" t="s">
        <v>22</v>
      </c>
      <c r="K428"/>
      <c r="U428"/>
      <c r="V428"/>
    </row>
    <row r="429" spans="1:22" ht="18" hidden="1">
      <c r="A429" s="9">
        <f>IF(Table1[[#This Row],[کد کوپ]]&lt;1,0,A428+1)</f>
        <v>428</v>
      </c>
      <c r="B429" s="9">
        <v>4705</v>
      </c>
      <c r="C429" s="10">
        <v>45481</v>
      </c>
      <c r="D429" s="11">
        <v>9.6999999999999993</v>
      </c>
      <c r="E429" s="12">
        <v>3.05</v>
      </c>
      <c r="F429" s="12">
        <v>2.0499999999999998</v>
      </c>
      <c r="G429" s="12">
        <v>0.6</v>
      </c>
      <c r="H429" s="9" t="s">
        <v>57</v>
      </c>
      <c r="I429" s="9" t="s">
        <v>10</v>
      </c>
      <c r="J429" s="9" t="s">
        <v>22</v>
      </c>
      <c r="K429"/>
      <c r="U429"/>
      <c r="V429"/>
    </row>
    <row r="430" spans="1:22" ht="18" hidden="1">
      <c r="A430" s="9">
        <f>IF(Table1[[#This Row],[کد کوپ]]&lt;1,0,A429+1)</f>
        <v>429</v>
      </c>
      <c r="B430" s="9">
        <v>4706</v>
      </c>
      <c r="C430" s="10">
        <v>45481</v>
      </c>
      <c r="D430" s="11">
        <v>8.9</v>
      </c>
      <c r="E430" s="12">
        <v>2.15</v>
      </c>
      <c r="F430" s="12">
        <v>1.9</v>
      </c>
      <c r="G430" s="12">
        <v>0.8</v>
      </c>
      <c r="H430" s="9" t="s">
        <v>57</v>
      </c>
      <c r="I430" s="9" t="s">
        <v>10</v>
      </c>
      <c r="J430" s="9" t="s">
        <v>22</v>
      </c>
      <c r="K430"/>
      <c r="U430"/>
      <c r="V430"/>
    </row>
    <row r="431" spans="1:22" ht="18" hidden="1">
      <c r="A431" s="9">
        <f>IF(Table1[[#This Row],[کد کوپ]]&lt;1,0,A430+1)</f>
        <v>430</v>
      </c>
      <c r="B431" s="9">
        <v>4707</v>
      </c>
      <c r="C431" s="10">
        <v>45481</v>
      </c>
      <c r="D431" s="11">
        <v>9.5</v>
      </c>
      <c r="E431" s="12">
        <v>3.05</v>
      </c>
      <c r="F431" s="12">
        <v>1.9</v>
      </c>
      <c r="G431" s="12">
        <v>0.55000000000000004</v>
      </c>
      <c r="H431" s="9" t="s">
        <v>57</v>
      </c>
      <c r="I431" s="9" t="s">
        <v>10</v>
      </c>
      <c r="J431" s="9" t="s">
        <v>22</v>
      </c>
      <c r="K431"/>
      <c r="U431"/>
      <c r="V431"/>
    </row>
    <row r="432" spans="1:22" ht="18" hidden="1">
      <c r="A432" s="9">
        <f>IF(Table1[[#This Row],[کد کوپ]]&lt;1,0,A431+1)</f>
        <v>431</v>
      </c>
      <c r="B432" s="9">
        <v>4708</v>
      </c>
      <c r="C432" s="10">
        <v>45481</v>
      </c>
      <c r="D432" s="11">
        <v>9</v>
      </c>
      <c r="E432" s="12">
        <v>2.9</v>
      </c>
      <c r="F432" s="12">
        <v>1.85</v>
      </c>
      <c r="G432" s="12">
        <v>0.62</v>
      </c>
      <c r="H432" s="9" t="s">
        <v>57</v>
      </c>
      <c r="I432" s="9" t="s">
        <v>10</v>
      </c>
      <c r="J432" s="9" t="s">
        <v>22</v>
      </c>
      <c r="K432"/>
      <c r="U432"/>
      <c r="V432"/>
    </row>
    <row r="433" spans="1:22" ht="18" hidden="1">
      <c r="A433" s="9">
        <f>IF(Table1[[#This Row],[کد کوپ]]&lt;1,0,A432+1)</f>
        <v>432</v>
      </c>
      <c r="B433" s="9">
        <v>4709</v>
      </c>
      <c r="C433" s="10">
        <v>45481</v>
      </c>
      <c r="D433" s="11">
        <v>8</v>
      </c>
      <c r="E433" s="12">
        <v>2.8</v>
      </c>
      <c r="F433" s="12">
        <v>1.95</v>
      </c>
      <c r="G433" s="12">
        <v>0.47</v>
      </c>
      <c r="H433" s="9" t="s">
        <v>57</v>
      </c>
      <c r="I433" s="9" t="s">
        <v>10</v>
      </c>
      <c r="J433" s="9" t="s">
        <v>22</v>
      </c>
      <c r="K433"/>
      <c r="U433"/>
      <c r="V433"/>
    </row>
    <row r="434" spans="1:22" ht="18" hidden="1">
      <c r="A434" s="9">
        <f>IF(Table1[[#This Row],[کد کوپ]]&lt;1,0,A433+1)</f>
        <v>433</v>
      </c>
      <c r="B434" s="9">
        <v>4710</v>
      </c>
      <c r="C434" s="10">
        <v>45480</v>
      </c>
      <c r="D434" s="11">
        <v>10.1</v>
      </c>
      <c r="E434" s="12">
        <v>3</v>
      </c>
      <c r="F434" s="12">
        <v>1.9</v>
      </c>
      <c r="G434" s="12">
        <v>0.6</v>
      </c>
      <c r="H434" s="9" t="s">
        <v>57</v>
      </c>
      <c r="I434" s="9" t="s">
        <v>10</v>
      </c>
      <c r="J434" s="9" t="s">
        <v>22</v>
      </c>
      <c r="K434"/>
      <c r="U434"/>
      <c r="V434"/>
    </row>
    <row r="435" spans="1:22" ht="18" hidden="1">
      <c r="A435" s="9">
        <f>IF(Table1[[#This Row],[کد کوپ]]&lt;1,0,A434+1)</f>
        <v>434</v>
      </c>
      <c r="B435" s="9">
        <v>4711</v>
      </c>
      <c r="C435" s="10">
        <v>45480</v>
      </c>
      <c r="D435" s="11">
        <v>17</v>
      </c>
      <c r="E435" s="12">
        <v>2.8</v>
      </c>
      <c r="F435" s="12">
        <v>1.55</v>
      </c>
      <c r="G435" s="12">
        <v>1.4</v>
      </c>
      <c r="H435" s="9" t="s">
        <v>57</v>
      </c>
      <c r="I435" s="9" t="s">
        <v>10</v>
      </c>
      <c r="J435" s="9" t="s">
        <v>22</v>
      </c>
      <c r="K435"/>
      <c r="U435"/>
      <c r="V435"/>
    </row>
    <row r="436" spans="1:22" ht="18" hidden="1">
      <c r="A436" s="9">
        <f>IF(Table1[[#This Row],[کد کوپ]]&lt;1,0,A435+1)</f>
        <v>435</v>
      </c>
      <c r="B436" s="9">
        <v>4712</v>
      </c>
      <c r="C436" s="10">
        <v>45480</v>
      </c>
      <c r="D436" s="11">
        <v>9.1999999999999993</v>
      </c>
      <c r="E436" s="12">
        <v>2.85</v>
      </c>
      <c r="F436" s="12">
        <v>1.8</v>
      </c>
      <c r="G436" s="12">
        <v>0.7</v>
      </c>
      <c r="H436" s="9" t="s">
        <v>57</v>
      </c>
      <c r="I436" s="9" t="s">
        <v>10</v>
      </c>
      <c r="J436" s="9" t="s">
        <v>22</v>
      </c>
      <c r="K436"/>
      <c r="U436"/>
      <c r="V436"/>
    </row>
    <row r="437" spans="1:22" ht="18" hidden="1">
      <c r="A437" s="9">
        <f>IF(Table1[[#This Row],[کد کوپ]]&lt;1,0,A436+1)</f>
        <v>436</v>
      </c>
      <c r="B437" s="9">
        <v>4713</v>
      </c>
      <c r="C437" s="10">
        <v>45480</v>
      </c>
      <c r="D437" s="11">
        <v>16</v>
      </c>
      <c r="E437" s="12">
        <v>2.9</v>
      </c>
      <c r="F437" s="12">
        <v>1.85</v>
      </c>
      <c r="G437" s="12">
        <v>1.1000000000000001</v>
      </c>
      <c r="H437" s="9" t="s">
        <v>57</v>
      </c>
      <c r="I437" s="9" t="s">
        <v>10</v>
      </c>
      <c r="J437" s="9" t="s">
        <v>22</v>
      </c>
      <c r="K437"/>
      <c r="U437"/>
      <c r="V437"/>
    </row>
    <row r="438" spans="1:22" ht="18" hidden="1">
      <c r="A438" s="9">
        <f>IF(Table1[[#This Row],[کد کوپ]]&lt;1,0,A437+1)</f>
        <v>437</v>
      </c>
      <c r="B438" s="9">
        <v>4714</v>
      </c>
      <c r="C438" s="10">
        <v>45482</v>
      </c>
      <c r="D438" s="11">
        <v>10.65</v>
      </c>
      <c r="E438" s="12">
        <v>3</v>
      </c>
      <c r="F438" s="12">
        <v>1.95</v>
      </c>
      <c r="G438" s="12">
        <v>0.7</v>
      </c>
      <c r="H438" s="9" t="s">
        <v>57</v>
      </c>
      <c r="I438" s="9" t="s">
        <v>10</v>
      </c>
      <c r="J438" s="9" t="s">
        <v>22</v>
      </c>
      <c r="K438"/>
      <c r="U438"/>
      <c r="V438"/>
    </row>
    <row r="439" spans="1:22" ht="18" hidden="1">
      <c r="A439" s="9">
        <f>IF(Table1[[#This Row],[کد کوپ]]&lt;1,0,A438+1)</f>
        <v>438</v>
      </c>
      <c r="B439" s="9">
        <v>4715</v>
      </c>
      <c r="C439" s="10">
        <v>45482</v>
      </c>
      <c r="D439" s="11">
        <v>9.3000000000000007</v>
      </c>
      <c r="E439" s="12">
        <v>2.95</v>
      </c>
      <c r="F439" s="12">
        <v>1.95</v>
      </c>
      <c r="G439" s="12">
        <v>0.6</v>
      </c>
      <c r="H439" s="9" t="s">
        <v>57</v>
      </c>
      <c r="I439" s="9" t="s">
        <v>10</v>
      </c>
      <c r="J439" s="9" t="s">
        <v>22</v>
      </c>
      <c r="K439"/>
      <c r="U439"/>
      <c r="V439"/>
    </row>
    <row r="440" spans="1:22" ht="18" hidden="1">
      <c r="A440" s="9">
        <f>IF(Table1[[#This Row],[کد کوپ]]&lt;1,0,A439+1)</f>
        <v>439</v>
      </c>
      <c r="B440" s="9">
        <v>4716</v>
      </c>
      <c r="C440" s="10">
        <v>45482</v>
      </c>
      <c r="D440" s="11">
        <v>9.5</v>
      </c>
      <c r="E440" s="12">
        <v>2.95</v>
      </c>
      <c r="F440" s="12">
        <v>2.0499999999999998</v>
      </c>
      <c r="G440" s="12">
        <v>0.6</v>
      </c>
      <c r="H440" s="9" t="s">
        <v>57</v>
      </c>
      <c r="I440" s="9" t="s">
        <v>10</v>
      </c>
      <c r="J440" s="9" t="s">
        <v>22</v>
      </c>
      <c r="K440"/>
      <c r="U440"/>
      <c r="V440"/>
    </row>
    <row r="441" spans="1:22" ht="18" hidden="1">
      <c r="A441" s="9">
        <f>IF(Table1[[#This Row],[کد کوپ]]&lt;1,0,A440+1)</f>
        <v>440</v>
      </c>
      <c r="B441" s="9">
        <v>4717</v>
      </c>
      <c r="C441" s="10">
        <v>45482</v>
      </c>
      <c r="D441" s="11">
        <v>7.15</v>
      </c>
      <c r="E441" s="12">
        <v>2.4500000000000002</v>
      </c>
      <c r="F441" s="12">
        <v>1.9</v>
      </c>
      <c r="G441" s="12">
        <v>0.5</v>
      </c>
      <c r="H441" s="9" t="s">
        <v>57</v>
      </c>
      <c r="I441" s="9" t="s">
        <v>10</v>
      </c>
      <c r="J441" s="9" t="s">
        <v>22</v>
      </c>
      <c r="K441"/>
      <c r="U441"/>
      <c r="V441"/>
    </row>
    <row r="442" spans="1:22" ht="18" hidden="1">
      <c r="A442" s="9">
        <f>IF(Table1[[#This Row],[کد کوپ]]&lt;1,0,A441+1)</f>
        <v>441</v>
      </c>
      <c r="B442" s="9">
        <v>4718</v>
      </c>
      <c r="C442" s="10">
        <v>45482</v>
      </c>
      <c r="D442" s="11">
        <v>8.8000000000000007</v>
      </c>
      <c r="E442" s="12">
        <v>3</v>
      </c>
      <c r="F442" s="12">
        <v>1.75</v>
      </c>
      <c r="G442" s="12">
        <v>0.6</v>
      </c>
      <c r="H442" s="9" t="s">
        <v>57</v>
      </c>
      <c r="I442" s="9" t="s">
        <v>10</v>
      </c>
      <c r="J442" s="9" t="s">
        <v>22</v>
      </c>
      <c r="K442"/>
      <c r="U442"/>
      <c r="V442"/>
    </row>
    <row r="443" spans="1:22" ht="18" hidden="1">
      <c r="A443" s="9">
        <f>IF(Table1[[#This Row],[کد کوپ]]&lt;1,0,A442+1)</f>
        <v>442</v>
      </c>
      <c r="B443" s="9">
        <v>4719</v>
      </c>
      <c r="C443" s="10">
        <v>45482</v>
      </c>
      <c r="D443" s="11">
        <v>10.199999999999999</v>
      </c>
      <c r="E443" s="12">
        <v>3</v>
      </c>
      <c r="F443" s="12">
        <v>2</v>
      </c>
      <c r="G443" s="12">
        <v>0.62</v>
      </c>
      <c r="H443" s="9" t="s">
        <v>57</v>
      </c>
      <c r="I443" s="9" t="s">
        <v>10</v>
      </c>
      <c r="J443" s="9" t="s">
        <v>22</v>
      </c>
      <c r="K443"/>
      <c r="U443"/>
      <c r="V443"/>
    </row>
    <row r="444" spans="1:22" ht="18" hidden="1">
      <c r="A444" s="9">
        <f>IF(Table1[[#This Row],[کد کوپ]]&lt;1,0,A443+1)</f>
        <v>443</v>
      </c>
      <c r="B444" s="9">
        <v>4720</v>
      </c>
      <c r="C444" s="10">
        <v>45482</v>
      </c>
      <c r="D444" s="11">
        <v>9.85</v>
      </c>
      <c r="E444" s="12">
        <v>2.85</v>
      </c>
      <c r="F444" s="12">
        <v>1.95</v>
      </c>
      <c r="G444" s="12">
        <v>0.62</v>
      </c>
      <c r="H444" s="9" t="s">
        <v>57</v>
      </c>
      <c r="I444" s="9" t="s">
        <v>10</v>
      </c>
      <c r="J444" s="9" t="s">
        <v>22</v>
      </c>
      <c r="K444"/>
      <c r="U444"/>
      <c r="V444"/>
    </row>
    <row r="445" spans="1:22" ht="18" hidden="1">
      <c r="A445" s="9">
        <f>IF(Table1[[#This Row],[کد کوپ]]&lt;1,0,A444+1)</f>
        <v>444</v>
      </c>
      <c r="B445" s="9">
        <v>4721</v>
      </c>
      <c r="C445" s="10">
        <v>45482</v>
      </c>
      <c r="D445" s="11">
        <v>6.9</v>
      </c>
      <c r="E445" s="12">
        <v>2.25</v>
      </c>
      <c r="F445" s="12">
        <v>2</v>
      </c>
      <c r="G445" s="12">
        <v>0.55000000000000004</v>
      </c>
      <c r="H445" s="9" t="s">
        <v>57</v>
      </c>
      <c r="I445" s="9" t="s">
        <v>10</v>
      </c>
      <c r="J445" s="9" t="s">
        <v>22</v>
      </c>
      <c r="K445"/>
      <c r="U445"/>
      <c r="V445"/>
    </row>
    <row r="446" spans="1:22" ht="18" hidden="1">
      <c r="A446" s="9">
        <f>IF(Table1[[#This Row],[کد کوپ]]&lt;1,0,A445+1)</f>
        <v>445</v>
      </c>
      <c r="B446" s="9">
        <v>4722</v>
      </c>
      <c r="C446" s="10">
        <v>45482</v>
      </c>
      <c r="D446" s="11">
        <v>11.3</v>
      </c>
      <c r="E446" s="12">
        <v>2.65</v>
      </c>
      <c r="F446" s="12">
        <v>1.8</v>
      </c>
      <c r="G446" s="12">
        <v>0.9</v>
      </c>
      <c r="H446" s="9" t="s">
        <v>57</v>
      </c>
      <c r="I446" s="9" t="s">
        <v>10</v>
      </c>
      <c r="J446" s="9" t="s">
        <v>22</v>
      </c>
      <c r="K446"/>
      <c r="U446"/>
      <c r="V446"/>
    </row>
    <row r="447" spans="1:22" ht="18" hidden="1">
      <c r="A447" s="9">
        <f>IF(Table1[[#This Row],[کد کوپ]]&lt;1,0,A446+1)</f>
        <v>446</v>
      </c>
      <c r="B447" s="9">
        <v>4723</v>
      </c>
      <c r="C447" s="10">
        <v>45482</v>
      </c>
      <c r="D447" s="11">
        <v>8.6999999999999993</v>
      </c>
      <c r="E447" s="12">
        <v>3</v>
      </c>
      <c r="F447" s="12">
        <v>1.95</v>
      </c>
      <c r="G447" s="12">
        <v>0.55000000000000004</v>
      </c>
      <c r="H447" s="9" t="s">
        <v>57</v>
      </c>
      <c r="I447" s="9" t="s">
        <v>10</v>
      </c>
      <c r="J447" s="9" t="s">
        <v>22</v>
      </c>
      <c r="K447"/>
      <c r="U447"/>
      <c r="V447"/>
    </row>
    <row r="448" spans="1:22" ht="18" hidden="1">
      <c r="A448" s="9">
        <f>IF(Table1[[#This Row],[کد کوپ]]&lt;1,0,A447+1)</f>
        <v>447</v>
      </c>
      <c r="B448" s="9">
        <v>4724</v>
      </c>
      <c r="C448" s="10">
        <v>45482</v>
      </c>
      <c r="D448" s="11">
        <v>8.6999999999999993</v>
      </c>
      <c r="E448" s="12">
        <v>2.75</v>
      </c>
      <c r="F448" s="12">
        <v>1.95</v>
      </c>
      <c r="G448" s="12">
        <v>0.56999999999999995</v>
      </c>
      <c r="H448" s="9" t="s">
        <v>57</v>
      </c>
      <c r="I448" s="9" t="s">
        <v>10</v>
      </c>
      <c r="J448" s="9" t="s">
        <v>22</v>
      </c>
      <c r="K448"/>
      <c r="U448"/>
      <c r="V448"/>
    </row>
    <row r="449" spans="1:22" ht="18" hidden="1">
      <c r="A449" s="9">
        <f>IF(Table1[[#This Row],[کد کوپ]]&lt;1,0,A448+1)</f>
        <v>448</v>
      </c>
      <c r="B449" s="9">
        <v>4725</v>
      </c>
      <c r="C449" s="10">
        <v>45482</v>
      </c>
      <c r="D449" s="11">
        <v>8.9499999999999993</v>
      </c>
      <c r="E449" s="12">
        <v>2.6</v>
      </c>
      <c r="F449" s="12">
        <v>1.57</v>
      </c>
      <c r="G449" s="12">
        <v>0.76</v>
      </c>
      <c r="H449" s="9" t="s">
        <v>57</v>
      </c>
      <c r="I449" s="9" t="s">
        <v>10</v>
      </c>
      <c r="J449" s="9" t="s">
        <v>22</v>
      </c>
      <c r="K449"/>
      <c r="U449"/>
      <c r="V449"/>
    </row>
    <row r="450" spans="1:22" ht="18" hidden="1">
      <c r="A450" s="9">
        <f>IF(Table1[[#This Row],[کد کوپ]]&lt;1,0,A449+1)</f>
        <v>449</v>
      </c>
      <c r="B450" s="9">
        <v>4726</v>
      </c>
      <c r="C450" s="10">
        <v>45482</v>
      </c>
      <c r="D450" s="11">
        <v>8.3000000000000007</v>
      </c>
      <c r="E450" s="12">
        <v>3</v>
      </c>
      <c r="F450" s="12">
        <v>1.85</v>
      </c>
      <c r="G450" s="12">
        <v>0.55000000000000004</v>
      </c>
      <c r="H450" s="9" t="s">
        <v>57</v>
      </c>
      <c r="I450" s="9" t="s">
        <v>10</v>
      </c>
      <c r="J450" s="9" t="s">
        <v>22</v>
      </c>
      <c r="K450"/>
      <c r="U450"/>
      <c r="V450"/>
    </row>
    <row r="451" spans="1:22" ht="18" hidden="1">
      <c r="A451" s="9">
        <f>IF(Table1[[#This Row],[کد کوپ]]&lt;1,0,A450+1)</f>
        <v>450</v>
      </c>
      <c r="B451" s="9">
        <v>4727</v>
      </c>
      <c r="C451" s="10">
        <v>45482</v>
      </c>
      <c r="D451" s="11">
        <v>8.1999999999999993</v>
      </c>
      <c r="E451" s="12">
        <v>3</v>
      </c>
      <c r="F451" s="12">
        <v>1.9</v>
      </c>
      <c r="G451" s="12">
        <v>0.5</v>
      </c>
      <c r="H451" s="9" t="s">
        <v>57</v>
      </c>
      <c r="I451" s="9" t="s">
        <v>10</v>
      </c>
      <c r="J451" s="9" t="s">
        <v>22</v>
      </c>
      <c r="K451"/>
      <c r="U451"/>
      <c r="V451"/>
    </row>
    <row r="452" spans="1:22" ht="18" hidden="1">
      <c r="A452" s="9">
        <f>IF(Table1[[#This Row],[کد کوپ]]&lt;1,0,A451+1)</f>
        <v>451</v>
      </c>
      <c r="B452" s="9">
        <v>4728</v>
      </c>
      <c r="C452" s="10">
        <v>45482</v>
      </c>
      <c r="D452" s="11">
        <v>9</v>
      </c>
      <c r="E452" s="12">
        <v>2.95</v>
      </c>
      <c r="F452" s="12">
        <v>1.85</v>
      </c>
      <c r="G452" s="12">
        <v>0.62</v>
      </c>
      <c r="H452" s="9" t="s">
        <v>57</v>
      </c>
      <c r="I452" s="9" t="s">
        <v>10</v>
      </c>
      <c r="J452" s="9" t="s">
        <v>22</v>
      </c>
      <c r="K452"/>
      <c r="U452"/>
      <c r="V452"/>
    </row>
    <row r="453" spans="1:22" ht="18" hidden="1">
      <c r="A453" s="9">
        <f>IF(Table1[[#This Row],[کد کوپ]]&lt;1,0,A452+1)</f>
        <v>452</v>
      </c>
      <c r="B453" s="9">
        <v>4729</v>
      </c>
      <c r="C453" s="10">
        <v>45482</v>
      </c>
      <c r="D453" s="11">
        <v>8.15</v>
      </c>
      <c r="E453" s="12">
        <v>2.85</v>
      </c>
      <c r="F453" s="12">
        <v>1.85</v>
      </c>
      <c r="G453" s="12">
        <v>0.55000000000000004</v>
      </c>
      <c r="H453" s="9" t="s">
        <v>57</v>
      </c>
      <c r="I453" s="9" t="s">
        <v>10</v>
      </c>
      <c r="J453" s="9" t="s">
        <v>22</v>
      </c>
      <c r="K453"/>
      <c r="U453"/>
      <c r="V453"/>
    </row>
    <row r="454" spans="1:22" ht="18" hidden="1">
      <c r="A454" s="9">
        <f>IF(Table1[[#This Row],[کد کوپ]]&lt;1,0,A453+1)</f>
        <v>453</v>
      </c>
      <c r="B454" s="9">
        <v>4730</v>
      </c>
      <c r="C454" s="10">
        <v>45482</v>
      </c>
      <c r="D454" s="11">
        <v>7.5</v>
      </c>
      <c r="E454" s="12">
        <v>1.95</v>
      </c>
      <c r="F454" s="12">
        <v>1.8</v>
      </c>
      <c r="G454" s="12">
        <v>0.77</v>
      </c>
      <c r="H454" s="9" t="s">
        <v>57</v>
      </c>
      <c r="I454" s="9" t="s">
        <v>10</v>
      </c>
      <c r="J454" s="9" t="s">
        <v>22</v>
      </c>
      <c r="K454"/>
      <c r="U454"/>
      <c r="V454"/>
    </row>
    <row r="455" spans="1:22" ht="18" hidden="1">
      <c r="A455" s="9">
        <f>IF(Table1[[#This Row],[کد کوپ]]&lt;1,0,A454+1)</f>
        <v>454</v>
      </c>
      <c r="B455" s="9">
        <v>4731</v>
      </c>
      <c r="C455" s="10">
        <v>45482</v>
      </c>
      <c r="D455" s="11">
        <v>5</v>
      </c>
      <c r="E455" s="12">
        <v>2</v>
      </c>
      <c r="F455" s="12">
        <v>1.62</v>
      </c>
      <c r="G455" s="12">
        <v>0.55000000000000004</v>
      </c>
      <c r="H455" s="9" t="s">
        <v>57</v>
      </c>
      <c r="I455" s="9" t="s">
        <v>10</v>
      </c>
      <c r="J455" s="9" t="s">
        <v>22</v>
      </c>
      <c r="K455"/>
      <c r="U455"/>
      <c r="V455"/>
    </row>
    <row r="456" spans="1:22" ht="18" hidden="1">
      <c r="A456" s="9">
        <f>IF(Table1[[#This Row],[کد کوپ]]&lt;1,0,A455+1)</f>
        <v>455</v>
      </c>
      <c r="B456" s="9">
        <v>4732</v>
      </c>
      <c r="C456" s="10">
        <v>45482</v>
      </c>
      <c r="D456" s="11">
        <v>9.4499999999999993</v>
      </c>
      <c r="E456" s="12">
        <v>3.05</v>
      </c>
      <c r="F456" s="12">
        <v>1.9</v>
      </c>
      <c r="G456" s="12">
        <v>0.57999999999999996</v>
      </c>
      <c r="H456" s="9" t="s">
        <v>57</v>
      </c>
      <c r="I456" s="9" t="s">
        <v>10</v>
      </c>
      <c r="J456" s="9" t="s">
        <v>22</v>
      </c>
      <c r="K456"/>
      <c r="U456"/>
      <c r="V456"/>
    </row>
    <row r="457" spans="1:22" ht="18" hidden="1">
      <c r="A457" s="9">
        <f>IF(Table1[[#This Row],[کد کوپ]]&lt;1,0,A456+1)</f>
        <v>456</v>
      </c>
      <c r="B457" s="9">
        <v>4733</v>
      </c>
      <c r="C457" s="10">
        <v>45482</v>
      </c>
      <c r="D457" s="11">
        <v>25.33</v>
      </c>
      <c r="E457" s="12">
        <v>2.95</v>
      </c>
      <c r="F457" s="12">
        <v>1.8</v>
      </c>
      <c r="G457" s="12">
        <v>1.75</v>
      </c>
      <c r="H457" s="9" t="s">
        <v>9</v>
      </c>
      <c r="I457" s="9" t="s">
        <v>10</v>
      </c>
      <c r="J457" s="9" t="s">
        <v>11</v>
      </c>
      <c r="K457"/>
      <c r="U457"/>
      <c r="V457"/>
    </row>
    <row r="458" spans="1:22" ht="18" hidden="1">
      <c r="A458" s="9">
        <f>IF(Table1[[#This Row],[کد کوپ]]&lt;1,0,A457+1)</f>
        <v>457</v>
      </c>
      <c r="B458" s="9">
        <v>4734</v>
      </c>
      <c r="C458" s="10">
        <v>45484</v>
      </c>
      <c r="D458" s="11">
        <v>9.4</v>
      </c>
      <c r="E458" s="12">
        <v>2.95</v>
      </c>
      <c r="F458" s="12">
        <v>1.95</v>
      </c>
      <c r="G458" s="12">
        <v>0.6</v>
      </c>
      <c r="H458" s="9" t="s">
        <v>57</v>
      </c>
      <c r="I458" s="9" t="s">
        <v>10</v>
      </c>
      <c r="J458" s="9" t="s">
        <v>22</v>
      </c>
      <c r="K458"/>
      <c r="U458"/>
      <c r="V458"/>
    </row>
    <row r="459" spans="1:22" ht="18" hidden="1">
      <c r="A459" s="9">
        <f>IF(Table1[[#This Row],[کد کوپ]]&lt;1,0,A458+1)</f>
        <v>458</v>
      </c>
      <c r="B459" s="9">
        <v>4735</v>
      </c>
      <c r="C459" s="10">
        <v>45484</v>
      </c>
      <c r="D459" s="11">
        <v>8.1999999999999993</v>
      </c>
      <c r="E459" s="12">
        <v>3</v>
      </c>
      <c r="F459" s="12">
        <v>1.8</v>
      </c>
      <c r="G459" s="12">
        <v>0.55000000000000004</v>
      </c>
      <c r="H459" s="9" t="s">
        <v>57</v>
      </c>
      <c r="I459" s="9" t="s">
        <v>10</v>
      </c>
      <c r="J459" s="9" t="s">
        <v>22</v>
      </c>
      <c r="K459"/>
      <c r="U459"/>
      <c r="V459"/>
    </row>
    <row r="460" spans="1:22" ht="18" hidden="1">
      <c r="A460" s="9">
        <f>IF(Table1[[#This Row],[کد کوپ]]&lt;1,0,A459+1)</f>
        <v>459</v>
      </c>
      <c r="B460" s="9">
        <v>4736</v>
      </c>
      <c r="C460" s="10">
        <v>45484</v>
      </c>
      <c r="D460" s="11">
        <v>11</v>
      </c>
      <c r="E460" s="12">
        <v>3.25</v>
      </c>
      <c r="F460" s="12">
        <v>1.95</v>
      </c>
      <c r="G460" s="12">
        <v>0.6</v>
      </c>
      <c r="H460" s="9" t="s">
        <v>57</v>
      </c>
      <c r="I460" s="9" t="s">
        <v>10</v>
      </c>
      <c r="J460" s="9" t="s">
        <v>22</v>
      </c>
      <c r="K460"/>
      <c r="U460"/>
      <c r="V460"/>
    </row>
    <row r="461" spans="1:22" ht="18" hidden="1">
      <c r="A461" s="9">
        <f>IF(Table1[[#This Row],[کد کوپ]]&lt;1,0,A460+1)</f>
        <v>460</v>
      </c>
      <c r="B461" s="9">
        <v>4737</v>
      </c>
      <c r="C461" s="10">
        <v>45484</v>
      </c>
      <c r="D461" s="11">
        <v>7.8</v>
      </c>
      <c r="E461" s="12">
        <v>2.5</v>
      </c>
      <c r="F461" s="12">
        <v>1.65</v>
      </c>
      <c r="G461" s="12">
        <v>0.6</v>
      </c>
      <c r="H461" s="9" t="s">
        <v>57</v>
      </c>
      <c r="I461" s="9" t="s">
        <v>10</v>
      </c>
      <c r="J461" s="9" t="s">
        <v>22</v>
      </c>
      <c r="K461"/>
      <c r="U461"/>
      <c r="V461"/>
    </row>
    <row r="462" spans="1:22" ht="18" hidden="1">
      <c r="A462" s="9">
        <f>IF(Table1[[#This Row],[کد کوپ]]&lt;1,0,A461+1)</f>
        <v>461</v>
      </c>
      <c r="B462" s="9">
        <v>4738</v>
      </c>
      <c r="C462" s="10">
        <v>45484</v>
      </c>
      <c r="D462" s="11">
        <v>8.3000000000000007</v>
      </c>
      <c r="E462" s="12">
        <v>3</v>
      </c>
      <c r="F462" s="12">
        <v>1.87</v>
      </c>
      <c r="G462" s="12">
        <v>0.55000000000000004</v>
      </c>
      <c r="H462" s="9" t="s">
        <v>57</v>
      </c>
      <c r="I462" s="9" t="s">
        <v>10</v>
      </c>
      <c r="J462" s="9" t="s">
        <v>22</v>
      </c>
      <c r="K462"/>
      <c r="U462"/>
      <c r="V462"/>
    </row>
    <row r="463" spans="1:22" ht="18" hidden="1">
      <c r="A463" s="9">
        <f>IF(Table1[[#This Row],[کد کوپ]]&lt;1,0,A462+1)</f>
        <v>462</v>
      </c>
      <c r="B463" s="9">
        <v>4739</v>
      </c>
      <c r="C463" s="10">
        <v>45484</v>
      </c>
      <c r="D463" s="11">
        <v>10.1</v>
      </c>
      <c r="E463" s="12">
        <v>3</v>
      </c>
      <c r="F463" s="12">
        <v>1.75</v>
      </c>
      <c r="G463" s="12">
        <v>0.7</v>
      </c>
      <c r="H463" s="9" t="s">
        <v>57</v>
      </c>
      <c r="I463" s="9" t="s">
        <v>10</v>
      </c>
      <c r="J463" s="9" t="s">
        <v>22</v>
      </c>
      <c r="K463"/>
      <c r="U463"/>
      <c r="V463"/>
    </row>
    <row r="464" spans="1:22" ht="18" hidden="1">
      <c r="A464" s="9">
        <f>IF(Table1[[#This Row],[کد کوپ]]&lt;1,0,A463+1)</f>
        <v>463</v>
      </c>
      <c r="B464" s="9">
        <v>4740</v>
      </c>
      <c r="C464" s="10">
        <v>45484</v>
      </c>
      <c r="D464" s="11">
        <v>5.8</v>
      </c>
      <c r="E464" s="12">
        <v>2.15</v>
      </c>
      <c r="F464" s="12">
        <v>1.6</v>
      </c>
      <c r="G464" s="12">
        <v>0.63</v>
      </c>
      <c r="H464" s="9" t="s">
        <v>57</v>
      </c>
      <c r="I464" s="9" t="s">
        <v>10</v>
      </c>
      <c r="J464" s="9" t="s">
        <v>22</v>
      </c>
      <c r="K464"/>
      <c r="U464"/>
      <c r="V464"/>
    </row>
    <row r="465" spans="1:22" ht="18" hidden="1">
      <c r="A465" s="9">
        <f>IF(Table1[[#This Row],[کد کوپ]]&lt;1,0,A464+1)</f>
        <v>464</v>
      </c>
      <c r="B465" s="9">
        <v>4741</v>
      </c>
      <c r="C465" s="10">
        <v>45484</v>
      </c>
      <c r="D465" s="11">
        <v>8.1</v>
      </c>
      <c r="E465" s="12">
        <v>2.95</v>
      </c>
      <c r="F465" s="12">
        <v>1.8</v>
      </c>
      <c r="G465" s="12">
        <v>0.55000000000000004</v>
      </c>
      <c r="H465" s="9" t="s">
        <v>57</v>
      </c>
      <c r="I465" s="9" t="s">
        <v>10</v>
      </c>
      <c r="J465" s="9" t="s">
        <v>22</v>
      </c>
      <c r="K465"/>
      <c r="U465"/>
      <c r="V465"/>
    </row>
    <row r="466" spans="1:22" ht="18" hidden="1">
      <c r="A466" s="9">
        <f>IF(Table1[[#This Row],[کد کوپ]]&lt;1,0,A465+1)</f>
        <v>465</v>
      </c>
      <c r="B466" s="9">
        <v>4742</v>
      </c>
      <c r="C466" s="10">
        <v>45484</v>
      </c>
      <c r="D466" s="11">
        <v>6.6</v>
      </c>
      <c r="E466" s="12">
        <v>2.8</v>
      </c>
      <c r="F466" s="12">
        <v>1.6</v>
      </c>
      <c r="G466" s="12">
        <v>0.55000000000000004</v>
      </c>
      <c r="H466" s="9" t="s">
        <v>57</v>
      </c>
      <c r="I466" s="9" t="s">
        <v>10</v>
      </c>
      <c r="J466" s="9" t="s">
        <v>22</v>
      </c>
      <c r="K466"/>
      <c r="U466"/>
      <c r="V466"/>
    </row>
    <row r="467" spans="1:22" ht="18" hidden="1">
      <c r="A467" s="9">
        <f>IF(Table1[[#This Row],[کد کوپ]]&lt;1,0,A466+1)</f>
        <v>466</v>
      </c>
      <c r="B467" s="9">
        <v>4743</v>
      </c>
      <c r="C467" s="10">
        <v>45484</v>
      </c>
      <c r="D467" s="11">
        <v>7.1</v>
      </c>
      <c r="E467" s="12">
        <v>3</v>
      </c>
      <c r="F467" s="12">
        <v>1.9</v>
      </c>
      <c r="G467" s="12">
        <v>0.43</v>
      </c>
      <c r="H467" s="9" t="s">
        <v>57</v>
      </c>
      <c r="I467" s="9" t="s">
        <v>10</v>
      </c>
      <c r="J467" s="9" t="s">
        <v>22</v>
      </c>
      <c r="K467"/>
      <c r="U467"/>
      <c r="V467"/>
    </row>
    <row r="468" spans="1:22" ht="18" hidden="1">
      <c r="A468" s="9">
        <f>IF(Table1[[#This Row],[کد کوپ]]&lt;1,0,A467+1)</f>
        <v>467</v>
      </c>
      <c r="B468" s="9">
        <v>4744</v>
      </c>
      <c r="C468" s="10">
        <v>45484</v>
      </c>
      <c r="D468" s="11">
        <v>8.75</v>
      </c>
      <c r="E468" s="12">
        <v>2.9</v>
      </c>
      <c r="F468" s="12">
        <v>1.94</v>
      </c>
      <c r="G468" s="12">
        <v>0.55000000000000004</v>
      </c>
      <c r="H468" s="9" t="s">
        <v>57</v>
      </c>
      <c r="I468" s="9" t="s">
        <v>10</v>
      </c>
      <c r="J468" s="9" t="s">
        <v>22</v>
      </c>
      <c r="K468"/>
      <c r="U468"/>
      <c r="V468"/>
    </row>
    <row r="469" spans="1:22" ht="18" hidden="1">
      <c r="A469" s="9">
        <f>IF(Table1[[#This Row],[کد کوپ]]&lt;1,0,A468+1)</f>
        <v>468</v>
      </c>
      <c r="B469" s="9">
        <v>4745</v>
      </c>
      <c r="C469" s="10">
        <v>45484</v>
      </c>
      <c r="D469" s="11">
        <v>8.8000000000000007</v>
      </c>
      <c r="E469" s="12">
        <v>2.75</v>
      </c>
      <c r="F469" s="12">
        <v>1.88</v>
      </c>
      <c r="G469" s="12">
        <v>0.63</v>
      </c>
      <c r="H469" s="9" t="s">
        <v>57</v>
      </c>
      <c r="I469" s="9" t="s">
        <v>10</v>
      </c>
      <c r="J469" s="9" t="s">
        <v>22</v>
      </c>
      <c r="K469"/>
      <c r="U469"/>
      <c r="V469"/>
    </row>
    <row r="470" spans="1:22" ht="18" hidden="1">
      <c r="A470" s="9">
        <f>IF(Table1[[#This Row],[کد کوپ]]&lt;1,0,A469+1)</f>
        <v>469</v>
      </c>
      <c r="B470" s="9">
        <v>4746</v>
      </c>
      <c r="C470" s="10">
        <v>45484</v>
      </c>
      <c r="D470" s="11">
        <v>8</v>
      </c>
      <c r="E470" s="12">
        <v>2.85</v>
      </c>
      <c r="F470" s="12">
        <v>2.02</v>
      </c>
      <c r="G470" s="12">
        <v>0.5</v>
      </c>
      <c r="H470" s="9" t="s">
        <v>57</v>
      </c>
      <c r="I470" s="9" t="s">
        <v>10</v>
      </c>
      <c r="J470" s="9" t="s">
        <v>22</v>
      </c>
      <c r="K470"/>
      <c r="U470"/>
      <c r="V470"/>
    </row>
    <row r="471" spans="1:22" ht="18" hidden="1">
      <c r="A471" s="9">
        <f>IF(Table1[[#This Row],[کد کوپ]]&lt;1,0,A470+1)</f>
        <v>470</v>
      </c>
      <c r="B471" s="9">
        <v>4747</v>
      </c>
      <c r="C471" s="10">
        <v>45484</v>
      </c>
      <c r="D471" s="11">
        <v>10.55</v>
      </c>
      <c r="E471" s="12">
        <v>2.2000000000000002</v>
      </c>
      <c r="F471" s="12">
        <v>1.45</v>
      </c>
      <c r="G471" s="12">
        <v>1.2</v>
      </c>
      <c r="H471" s="9" t="s">
        <v>9</v>
      </c>
      <c r="I471" s="9" t="s">
        <v>10</v>
      </c>
      <c r="J471" s="9" t="s">
        <v>11</v>
      </c>
      <c r="K471"/>
      <c r="U471"/>
      <c r="V471"/>
    </row>
    <row r="472" spans="1:22" ht="18" hidden="1">
      <c r="A472" s="9">
        <f>IF(Table1[[#This Row],[کد کوپ]]&lt;1,0,A471+1)</f>
        <v>471</v>
      </c>
      <c r="B472" s="9">
        <v>4748</v>
      </c>
      <c r="C472" s="10">
        <v>45484</v>
      </c>
      <c r="D472" s="11">
        <v>15</v>
      </c>
      <c r="E472" s="12">
        <v>2.1</v>
      </c>
      <c r="F472" s="12">
        <v>1.68</v>
      </c>
      <c r="G472" s="12">
        <v>1.6</v>
      </c>
      <c r="H472" s="9" t="s">
        <v>9</v>
      </c>
      <c r="I472" s="9" t="s">
        <v>10</v>
      </c>
      <c r="J472" s="9" t="s">
        <v>11</v>
      </c>
      <c r="K472"/>
      <c r="U472"/>
      <c r="V472"/>
    </row>
    <row r="473" spans="1:22" ht="18" hidden="1">
      <c r="A473" s="9">
        <f>IF(Table1[[#This Row],[کد کوپ]]&lt;1,0,A472+1)</f>
        <v>472</v>
      </c>
      <c r="B473" s="9">
        <v>4749</v>
      </c>
      <c r="C473" s="10">
        <v>45484</v>
      </c>
      <c r="D473" s="11">
        <v>28.2</v>
      </c>
      <c r="E473" s="12">
        <v>2.9</v>
      </c>
      <c r="F473" s="12">
        <v>2</v>
      </c>
      <c r="G473" s="12">
        <v>1.75</v>
      </c>
      <c r="H473" s="9" t="s">
        <v>9</v>
      </c>
      <c r="I473" s="9" t="s">
        <v>10</v>
      </c>
      <c r="J473" s="9" t="s">
        <v>11</v>
      </c>
      <c r="K473"/>
      <c r="U473"/>
      <c r="V473"/>
    </row>
    <row r="474" spans="1:22" ht="18" hidden="1">
      <c r="A474" s="9">
        <f>IF(Table1[[#This Row],[کد کوپ]]&lt;1,0,A473+1)</f>
        <v>473</v>
      </c>
      <c r="B474" s="9">
        <v>4750</v>
      </c>
      <c r="C474" s="10">
        <v>45485</v>
      </c>
      <c r="D474" s="11">
        <v>20.440000000000001</v>
      </c>
      <c r="E474" s="12">
        <v>1.98</v>
      </c>
      <c r="F474" s="12">
        <v>1.98</v>
      </c>
      <c r="G474" s="12">
        <v>1.93</v>
      </c>
      <c r="H474" s="9" t="s">
        <v>9</v>
      </c>
      <c r="I474" s="9" t="s">
        <v>10</v>
      </c>
      <c r="J474" s="9" t="s">
        <v>11</v>
      </c>
      <c r="K474"/>
      <c r="U474"/>
      <c r="V474"/>
    </row>
    <row r="475" spans="1:22" ht="18" hidden="1">
      <c r="A475" s="9">
        <f>IF(Table1[[#This Row],[کد کوپ]]&lt;1,0,A474+1)</f>
        <v>474</v>
      </c>
      <c r="B475" s="9">
        <v>4751</v>
      </c>
      <c r="C475" s="10">
        <v>45485</v>
      </c>
      <c r="D475" s="11">
        <v>9.77</v>
      </c>
      <c r="E475" s="12">
        <v>1.7</v>
      </c>
      <c r="F475" s="12">
        <v>1.35</v>
      </c>
      <c r="G475" s="12">
        <v>1.3</v>
      </c>
      <c r="H475" s="9" t="s">
        <v>9</v>
      </c>
      <c r="I475" s="9" t="s">
        <v>10</v>
      </c>
      <c r="J475" s="9" t="s">
        <v>11</v>
      </c>
      <c r="K475"/>
      <c r="U475"/>
      <c r="V475"/>
    </row>
    <row r="476" spans="1:22" ht="18" hidden="1">
      <c r="A476" s="9">
        <f>IF(Table1[[#This Row],[کد کوپ]]&lt;1,0,A475+1)</f>
        <v>475</v>
      </c>
      <c r="B476" s="9">
        <v>4752</v>
      </c>
      <c r="C476" s="10">
        <v>45486</v>
      </c>
      <c r="D476" s="11">
        <v>5.2</v>
      </c>
      <c r="E476" s="12">
        <v>2.2000000000000002</v>
      </c>
      <c r="F476" s="12">
        <v>1.75</v>
      </c>
      <c r="G476" s="12">
        <v>0.5</v>
      </c>
      <c r="H476" s="9" t="s">
        <v>57</v>
      </c>
      <c r="I476" s="9" t="s">
        <v>10</v>
      </c>
      <c r="J476" s="9" t="s">
        <v>22</v>
      </c>
      <c r="K476"/>
      <c r="U476"/>
      <c r="V476"/>
    </row>
    <row r="477" spans="1:22" ht="18" hidden="1">
      <c r="A477" s="9">
        <f>IF(Table1[[#This Row],[کد کوپ]]&lt;1,0,A476+1)</f>
        <v>476</v>
      </c>
      <c r="B477" s="9">
        <v>4753</v>
      </c>
      <c r="C477" s="10">
        <v>45486</v>
      </c>
      <c r="D477" s="11">
        <v>8.4</v>
      </c>
      <c r="E477" s="12">
        <v>2.8</v>
      </c>
      <c r="F477" s="12">
        <v>1.7</v>
      </c>
      <c r="G477" s="12">
        <v>0.6</v>
      </c>
      <c r="H477" s="9" t="s">
        <v>57</v>
      </c>
      <c r="I477" s="9" t="s">
        <v>10</v>
      </c>
      <c r="J477" s="9" t="s">
        <v>22</v>
      </c>
      <c r="K477"/>
      <c r="U477"/>
      <c r="V477"/>
    </row>
    <row r="478" spans="1:22" ht="18" hidden="1">
      <c r="A478" s="9">
        <f>IF(Table1[[#This Row],[کد کوپ]]&lt;1,0,A477+1)</f>
        <v>477</v>
      </c>
      <c r="B478" s="9">
        <v>4754</v>
      </c>
      <c r="C478" s="10">
        <v>45486</v>
      </c>
      <c r="D478" s="11">
        <v>6.8</v>
      </c>
      <c r="E478" s="12">
        <v>2.8</v>
      </c>
      <c r="F478" s="12">
        <v>1.7</v>
      </c>
      <c r="G478" s="12">
        <v>0.55000000000000004</v>
      </c>
      <c r="H478" s="9" t="s">
        <v>57</v>
      </c>
      <c r="I478" s="9" t="s">
        <v>10</v>
      </c>
      <c r="J478" s="9" t="s">
        <v>22</v>
      </c>
      <c r="K478"/>
      <c r="U478"/>
      <c r="V478"/>
    </row>
    <row r="479" spans="1:22" ht="18" hidden="1">
      <c r="A479" s="9">
        <f>IF(Table1[[#This Row],[کد کوپ]]&lt;1,0,A478+1)</f>
        <v>478</v>
      </c>
      <c r="B479" s="9">
        <v>4755</v>
      </c>
      <c r="C479" s="10">
        <v>45486</v>
      </c>
      <c r="D479" s="11">
        <v>8.5</v>
      </c>
      <c r="E479" s="12">
        <v>2.8</v>
      </c>
      <c r="F479" s="12">
        <v>1.85</v>
      </c>
      <c r="G479" s="12">
        <v>0.6</v>
      </c>
      <c r="H479" s="9" t="s">
        <v>57</v>
      </c>
      <c r="I479" s="9" t="s">
        <v>10</v>
      </c>
      <c r="J479" s="9" t="s">
        <v>22</v>
      </c>
      <c r="K479"/>
      <c r="U479"/>
      <c r="V479"/>
    </row>
    <row r="480" spans="1:22" ht="18" hidden="1">
      <c r="A480" s="9">
        <f>IF(Table1[[#This Row],[کد کوپ]]&lt;1,0,A479+1)</f>
        <v>479</v>
      </c>
      <c r="B480" s="9">
        <v>4756</v>
      </c>
      <c r="C480" s="10">
        <v>45486</v>
      </c>
      <c r="D480" s="11">
        <v>9.8000000000000007</v>
      </c>
      <c r="E480" s="12">
        <v>3.1</v>
      </c>
      <c r="F480" s="12">
        <v>1.85</v>
      </c>
      <c r="G480" s="12">
        <v>0.62</v>
      </c>
      <c r="H480" s="9" t="s">
        <v>57</v>
      </c>
      <c r="I480" s="9" t="s">
        <v>10</v>
      </c>
      <c r="J480" s="9" t="s">
        <v>22</v>
      </c>
      <c r="K480"/>
      <c r="U480"/>
      <c r="V480"/>
    </row>
    <row r="481" spans="1:22" ht="18" hidden="1">
      <c r="A481" s="9">
        <f>IF(Table1[[#This Row],[کد کوپ]]&lt;1,0,A480+1)</f>
        <v>480</v>
      </c>
      <c r="B481" s="9">
        <v>4757</v>
      </c>
      <c r="C481" s="10">
        <v>45486</v>
      </c>
      <c r="D481" s="11">
        <v>7.8</v>
      </c>
      <c r="E481" s="12">
        <v>2.0499999999999998</v>
      </c>
      <c r="F481" s="12">
        <v>1.8</v>
      </c>
      <c r="G481" s="12">
        <v>0.8</v>
      </c>
      <c r="H481" s="9" t="s">
        <v>57</v>
      </c>
      <c r="I481" s="9" t="s">
        <v>10</v>
      </c>
      <c r="J481" s="9" t="s">
        <v>22</v>
      </c>
      <c r="K481"/>
      <c r="U481"/>
      <c r="V481"/>
    </row>
    <row r="482" spans="1:22" ht="18" hidden="1">
      <c r="A482" s="9">
        <f>IF(Table1[[#This Row],[کد کوپ]]&lt;1,0,A481+1)</f>
        <v>481</v>
      </c>
      <c r="B482" s="9">
        <v>4758</v>
      </c>
      <c r="C482" s="10">
        <v>45486</v>
      </c>
      <c r="D482" s="11">
        <v>9</v>
      </c>
      <c r="E482" s="12">
        <v>2.7</v>
      </c>
      <c r="F482" s="12">
        <v>1.45</v>
      </c>
      <c r="G482" s="12">
        <v>0.8</v>
      </c>
      <c r="H482" s="9" t="s">
        <v>57</v>
      </c>
      <c r="I482" s="9" t="s">
        <v>10</v>
      </c>
      <c r="J482" s="9" t="s">
        <v>22</v>
      </c>
      <c r="K482"/>
      <c r="U482"/>
      <c r="V482"/>
    </row>
    <row r="483" spans="1:22" ht="18" hidden="1">
      <c r="A483" s="9">
        <f>IF(Table1[[#This Row],[کد کوپ]]&lt;1,0,A482+1)</f>
        <v>482</v>
      </c>
      <c r="B483" s="9">
        <v>4759</v>
      </c>
      <c r="C483" s="10">
        <v>45486</v>
      </c>
      <c r="D483" s="11">
        <v>5.3</v>
      </c>
      <c r="E483" s="12">
        <v>2.2000000000000002</v>
      </c>
      <c r="F483" s="12">
        <v>1.5</v>
      </c>
      <c r="G483" s="12">
        <v>0.55000000000000004</v>
      </c>
      <c r="H483" s="9" t="s">
        <v>57</v>
      </c>
      <c r="I483" s="9" t="s">
        <v>10</v>
      </c>
      <c r="J483" s="9" t="s">
        <v>22</v>
      </c>
      <c r="K483"/>
      <c r="U483"/>
      <c r="V483"/>
    </row>
    <row r="484" spans="1:22" ht="18" hidden="1">
      <c r="A484" s="9">
        <f>IF(Table1[[#This Row],[کد کوپ]]&lt;1,0,A483+1)</f>
        <v>483</v>
      </c>
      <c r="B484" s="9">
        <v>4760</v>
      </c>
      <c r="C484" s="10">
        <v>45486</v>
      </c>
      <c r="D484" s="11">
        <v>6.6</v>
      </c>
      <c r="E484" s="12">
        <v>2.7</v>
      </c>
      <c r="F484" s="12">
        <v>1.7</v>
      </c>
      <c r="G484" s="12">
        <v>0.54</v>
      </c>
      <c r="H484" s="9" t="s">
        <v>57</v>
      </c>
      <c r="I484" s="9" t="s">
        <v>10</v>
      </c>
      <c r="J484" s="9" t="s">
        <v>22</v>
      </c>
      <c r="K484"/>
      <c r="U484"/>
      <c r="V484"/>
    </row>
    <row r="485" spans="1:22" ht="18" hidden="1">
      <c r="A485" s="9">
        <f>IF(Table1[[#This Row],[کد کوپ]]&lt;1,0,A484+1)</f>
        <v>484</v>
      </c>
      <c r="B485" s="9">
        <v>4761</v>
      </c>
      <c r="C485" s="10">
        <v>45486</v>
      </c>
      <c r="D485" s="11">
        <v>6</v>
      </c>
      <c r="E485" s="12">
        <v>3</v>
      </c>
      <c r="F485" s="12">
        <v>1.55</v>
      </c>
      <c r="G485" s="12">
        <v>0.47</v>
      </c>
      <c r="H485" s="9" t="s">
        <v>57</v>
      </c>
      <c r="I485" s="9" t="s">
        <v>10</v>
      </c>
      <c r="J485" s="9" t="s">
        <v>22</v>
      </c>
      <c r="K485"/>
      <c r="U485"/>
      <c r="V485"/>
    </row>
    <row r="486" spans="1:22" ht="18" hidden="1">
      <c r="A486" s="9">
        <f>IF(Table1[[#This Row],[کد کوپ]]&lt;1,0,A485+1)</f>
        <v>485</v>
      </c>
      <c r="B486" s="9">
        <v>4762</v>
      </c>
      <c r="C486" s="10">
        <v>45486</v>
      </c>
      <c r="D486" s="11">
        <v>9.3000000000000007</v>
      </c>
      <c r="E486" s="12">
        <v>2.7</v>
      </c>
      <c r="F486" s="12">
        <v>1.95</v>
      </c>
      <c r="G486" s="12">
        <v>0.65</v>
      </c>
      <c r="H486" s="9" t="s">
        <v>57</v>
      </c>
      <c r="I486" s="9" t="s">
        <v>10</v>
      </c>
      <c r="J486" s="9" t="s">
        <v>22</v>
      </c>
      <c r="K486"/>
      <c r="U486"/>
      <c r="V486"/>
    </row>
    <row r="487" spans="1:22" ht="18" hidden="1">
      <c r="A487" s="9">
        <f>IF(Table1[[#This Row],[کد کوپ]]&lt;1,0,A486+1)</f>
        <v>486</v>
      </c>
      <c r="B487" s="9">
        <v>4763</v>
      </c>
      <c r="C487" s="10">
        <v>45486</v>
      </c>
      <c r="D487" s="11">
        <v>6.5</v>
      </c>
      <c r="E487" s="12">
        <v>2.1</v>
      </c>
      <c r="F487" s="12">
        <v>1.97</v>
      </c>
      <c r="G487" s="12">
        <v>0.56999999999999995</v>
      </c>
      <c r="H487" s="9" t="s">
        <v>57</v>
      </c>
      <c r="I487" s="9" t="s">
        <v>10</v>
      </c>
      <c r="J487" s="9" t="s">
        <v>22</v>
      </c>
      <c r="K487"/>
      <c r="U487"/>
      <c r="V487"/>
    </row>
    <row r="488" spans="1:22" ht="18" hidden="1">
      <c r="A488" s="9">
        <f>IF(Table1[[#This Row],[کد کوپ]]&lt;1,0,A487+1)</f>
        <v>487</v>
      </c>
      <c r="B488" s="9">
        <v>4764</v>
      </c>
      <c r="C488" s="10">
        <v>45486</v>
      </c>
      <c r="D488" s="11">
        <v>4.5999999999999996</v>
      </c>
      <c r="E488" s="12">
        <v>2.04</v>
      </c>
      <c r="F488" s="12">
        <v>2</v>
      </c>
      <c r="G488" s="12">
        <v>0.42</v>
      </c>
      <c r="H488" s="9" t="s">
        <v>57</v>
      </c>
      <c r="I488" s="9" t="s">
        <v>10</v>
      </c>
      <c r="J488" s="9" t="s">
        <v>22</v>
      </c>
      <c r="K488"/>
      <c r="U488"/>
      <c r="V488"/>
    </row>
    <row r="489" spans="1:22" ht="18" hidden="1">
      <c r="A489" s="9">
        <f>IF(Table1[[#This Row],[کد کوپ]]&lt;1,0,A488+1)</f>
        <v>488</v>
      </c>
      <c r="B489" s="9">
        <v>4765</v>
      </c>
      <c r="C489" s="10">
        <v>45486</v>
      </c>
      <c r="D489" s="11">
        <v>7.3</v>
      </c>
      <c r="E489" s="12">
        <v>2.85</v>
      </c>
      <c r="F489" s="12">
        <v>1.9</v>
      </c>
      <c r="G489" s="12">
        <v>0.5</v>
      </c>
      <c r="H489" s="9" t="s">
        <v>57</v>
      </c>
      <c r="I489" s="9" t="s">
        <v>10</v>
      </c>
      <c r="J489" s="9" t="s">
        <v>22</v>
      </c>
      <c r="K489"/>
      <c r="U489"/>
      <c r="V489"/>
    </row>
    <row r="490" spans="1:22" ht="18" hidden="1">
      <c r="A490" s="9">
        <f>IF(Table1[[#This Row],[کد کوپ]]&lt;1,0,A489+1)</f>
        <v>489</v>
      </c>
      <c r="B490" s="9">
        <v>4766</v>
      </c>
      <c r="C490" s="10">
        <v>45486</v>
      </c>
      <c r="D490" s="11">
        <v>9.15</v>
      </c>
      <c r="E490" s="12">
        <v>2.8</v>
      </c>
      <c r="F490" s="12">
        <v>1.5</v>
      </c>
      <c r="G490" s="12">
        <v>0.73</v>
      </c>
      <c r="H490" s="9" t="s">
        <v>57</v>
      </c>
      <c r="I490" s="9" t="s">
        <v>10</v>
      </c>
      <c r="J490" s="9" t="s">
        <v>22</v>
      </c>
      <c r="K490"/>
      <c r="U490"/>
      <c r="V490"/>
    </row>
    <row r="491" spans="1:22" ht="18" hidden="1">
      <c r="A491" s="9">
        <f>IF(Table1[[#This Row],[کد کوپ]]&lt;1,0,A490+1)</f>
        <v>490</v>
      </c>
      <c r="B491" s="9">
        <v>4767</v>
      </c>
      <c r="C491" s="10">
        <v>45488</v>
      </c>
      <c r="D491" s="11">
        <v>29.35</v>
      </c>
      <c r="E491" s="12">
        <v>3.15</v>
      </c>
      <c r="F491" s="12">
        <v>1.8</v>
      </c>
      <c r="G491" s="12">
        <v>2.0499999999999998</v>
      </c>
      <c r="H491" s="9" t="s">
        <v>23</v>
      </c>
      <c r="I491" s="9" t="s">
        <v>24</v>
      </c>
      <c r="J491" s="9" t="s">
        <v>58</v>
      </c>
      <c r="K491"/>
      <c r="U491"/>
      <c r="V491"/>
    </row>
    <row r="492" spans="1:22" ht="18" hidden="1">
      <c r="A492" s="9">
        <f>IF(Table1[[#This Row],[کد کوپ]]&lt;1,0,A491+1)</f>
        <v>491</v>
      </c>
      <c r="B492" s="9">
        <v>4768</v>
      </c>
      <c r="C492" s="10">
        <v>45489</v>
      </c>
      <c r="D492" s="11">
        <v>24.68</v>
      </c>
      <c r="E492" s="12">
        <v>2.95</v>
      </c>
      <c r="F492" s="12">
        <v>1.8</v>
      </c>
      <c r="G492" s="12">
        <v>1.7</v>
      </c>
      <c r="H492" s="9" t="s">
        <v>9</v>
      </c>
      <c r="I492" s="9" t="s">
        <v>10</v>
      </c>
      <c r="J492" s="9" t="s">
        <v>11</v>
      </c>
      <c r="K492"/>
      <c r="U492"/>
      <c r="V492"/>
    </row>
    <row r="493" spans="1:22" ht="18" hidden="1">
      <c r="A493" s="9">
        <f>IF(Table1[[#This Row],[کد کوپ]]&lt;1,0,A492+1)</f>
        <v>492</v>
      </c>
      <c r="B493" s="9">
        <v>4769</v>
      </c>
      <c r="C493" s="10">
        <v>45493</v>
      </c>
      <c r="D493" s="11">
        <v>22.56</v>
      </c>
      <c r="E493" s="12">
        <v>2.95</v>
      </c>
      <c r="F493" s="12">
        <v>1.75</v>
      </c>
      <c r="G493" s="12">
        <v>1.6</v>
      </c>
      <c r="H493" s="9" t="s">
        <v>9</v>
      </c>
      <c r="I493" s="9" t="s">
        <v>10</v>
      </c>
      <c r="J493" s="9" t="s">
        <v>11</v>
      </c>
      <c r="K493"/>
      <c r="U493"/>
      <c r="V493"/>
    </row>
    <row r="494" spans="1:22" ht="18" hidden="1">
      <c r="A494" s="9">
        <f>IF(Table1[[#This Row],[کد کوپ]]&lt;1,0,A493+1)</f>
        <v>493</v>
      </c>
      <c r="B494" s="9">
        <v>4770</v>
      </c>
      <c r="C494" s="10">
        <v>45494</v>
      </c>
      <c r="D494" s="11">
        <v>26.62</v>
      </c>
      <c r="E494" s="12">
        <v>2.95</v>
      </c>
      <c r="F494" s="12">
        <v>1.9</v>
      </c>
      <c r="G494" s="12">
        <v>1.75</v>
      </c>
      <c r="H494" s="9" t="s">
        <v>9</v>
      </c>
      <c r="I494" s="9" t="s">
        <v>10</v>
      </c>
      <c r="J494" s="9" t="s">
        <v>11</v>
      </c>
      <c r="K494"/>
      <c r="U494"/>
      <c r="V494"/>
    </row>
    <row r="495" spans="1:22" ht="18" hidden="1">
      <c r="A495" s="9">
        <f>IF(Table1[[#This Row],[کد کوپ]]&lt;1,0,A494+1)</f>
        <v>494</v>
      </c>
      <c r="B495" s="9">
        <v>4771</v>
      </c>
      <c r="C495" s="10">
        <v>45494</v>
      </c>
      <c r="D495" s="11">
        <v>24.15</v>
      </c>
      <c r="E495" s="12">
        <v>2.93</v>
      </c>
      <c r="F495" s="12">
        <v>1.8</v>
      </c>
      <c r="G495" s="12">
        <v>1.7</v>
      </c>
      <c r="H495" s="9" t="s">
        <v>9</v>
      </c>
      <c r="I495" s="9" t="s">
        <v>10</v>
      </c>
      <c r="J495" s="9" t="s">
        <v>11</v>
      </c>
      <c r="K495"/>
      <c r="U495"/>
      <c r="V495"/>
    </row>
    <row r="496" spans="1:22" ht="18" hidden="1">
      <c r="A496" s="9">
        <f>IF(Table1[[#This Row],[کد کوپ]]&lt;1,0,A495+1)</f>
        <v>495</v>
      </c>
      <c r="B496" s="9">
        <v>4772</v>
      </c>
      <c r="C496" s="10">
        <v>45496</v>
      </c>
      <c r="D496" s="11">
        <v>23.85</v>
      </c>
      <c r="E496" s="12">
        <v>2.85</v>
      </c>
      <c r="F496" s="12">
        <v>1.73</v>
      </c>
      <c r="G496" s="12">
        <v>1.7</v>
      </c>
      <c r="H496" s="9" t="s">
        <v>9</v>
      </c>
      <c r="I496" s="9" t="s">
        <v>10</v>
      </c>
      <c r="J496" s="9" t="s">
        <v>11</v>
      </c>
      <c r="K496"/>
      <c r="U496"/>
      <c r="V496"/>
    </row>
    <row r="497" spans="1:22" ht="18" hidden="1">
      <c r="A497" s="9">
        <f>IF(Table1[[#This Row],[کد کوپ]]&lt;1,0,A496+1)</f>
        <v>496</v>
      </c>
      <c r="B497" s="9">
        <v>4773</v>
      </c>
      <c r="C497" s="10">
        <v>45496</v>
      </c>
      <c r="D497" s="11">
        <v>22.3</v>
      </c>
      <c r="E497" s="12">
        <v>2.6</v>
      </c>
      <c r="F497" s="12">
        <v>1.85</v>
      </c>
      <c r="G497" s="12">
        <v>1.65</v>
      </c>
      <c r="H497" s="9" t="s">
        <v>9</v>
      </c>
      <c r="I497" s="9" t="s">
        <v>10</v>
      </c>
      <c r="J497" s="9" t="s">
        <v>11</v>
      </c>
      <c r="K497"/>
      <c r="U497"/>
      <c r="V497"/>
    </row>
    <row r="498" spans="1:22" ht="18" hidden="1">
      <c r="A498" s="9">
        <f>IF(Table1[[#This Row],[کد کوپ]]&lt;1,0,A497+1)</f>
        <v>497</v>
      </c>
      <c r="B498" s="9">
        <v>4774</v>
      </c>
      <c r="C498" s="10">
        <v>45496</v>
      </c>
      <c r="D498" s="11">
        <v>13</v>
      </c>
      <c r="E498" s="12">
        <v>1.7</v>
      </c>
      <c r="F498" s="12">
        <v>1.7</v>
      </c>
      <c r="G498" s="12">
        <v>1.63</v>
      </c>
      <c r="H498" s="9" t="s">
        <v>9</v>
      </c>
      <c r="I498" s="9" t="s">
        <v>10</v>
      </c>
      <c r="J498" s="9" t="s">
        <v>11</v>
      </c>
      <c r="K498"/>
      <c r="U498"/>
      <c r="V498"/>
    </row>
    <row r="499" spans="1:22" ht="18" hidden="1">
      <c r="A499" s="9">
        <f>IF(Table1[[#This Row],[کد کوپ]]&lt;1,0,A498+1)</f>
        <v>498</v>
      </c>
      <c r="B499" s="9">
        <v>4775</v>
      </c>
      <c r="C499" s="10">
        <v>45496</v>
      </c>
      <c r="D499" s="11">
        <v>12.1</v>
      </c>
      <c r="E499" s="12">
        <v>1.9</v>
      </c>
      <c r="F499" s="12">
        <v>1.58</v>
      </c>
      <c r="G499" s="12">
        <v>1.48</v>
      </c>
      <c r="H499" s="9" t="s">
        <v>9</v>
      </c>
      <c r="I499" s="9" t="s">
        <v>10</v>
      </c>
      <c r="J499" s="9" t="s">
        <v>11</v>
      </c>
      <c r="K499"/>
      <c r="U499"/>
      <c r="V499"/>
    </row>
    <row r="500" spans="1:22" ht="18" hidden="1">
      <c r="A500" s="9">
        <f>IF(Table1[[#This Row],[کد کوپ]]&lt;1,0,A499+1)</f>
        <v>499</v>
      </c>
      <c r="B500" s="9">
        <v>4776</v>
      </c>
      <c r="C500" s="10">
        <v>45497</v>
      </c>
      <c r="D500" s="11">
        <v>24.5</v>
      </c>
      <c r="E500" s="12">
        <v>2.9</v>
      </c>
      <c r="F500" s="12">
        <v>1.75</v>
      </c>
      <c r="G500" s="12">
        <v>1.7</v>
      </c>
      <c r="H500" s="9" t="s">
        <v>9</v>
      </c>
      <c r="I500" s="9" t="s">
        <v>10</v>
      </c>
      <c r="J500" s="9" t="s">
        <v>11</v>
      </c>
      <c r="K500"/>
      <c r="U500"/>
      <c r="V500"/>
    </row>
    <row r="501" spans="1:22" ht="18" hidden="1">
      <c r="A501" s="9">
        <f>IF(Table1[[#This Row],[کد کوپ]]&lt;1,0,A500+1)</f>
        <v>500</v>
      </c>
      <c r="B501" s="9">
        <v>4777</v>
      </c>
      <c r="C501" s="10">
        <v>45498</v>
      </c>
      <c r="D501" s="11">
        <v>26.2</v>
      </c>
      <c r="E501" s="12">
        <v>2.85</v>
      </c>
      <c r="F501" s="12">
        <v>1.9</v>
      </c>
      <c r="G501" s="12">
        <v>1.7</v>
      </c>
      <c r="H501" s="9" t="s">
        <v>9</v>
      </c>
      <c r="I501" s="9" t="s">
        <v>10</v>
      </c>
      <c r="J501" s="9" t="s">
        <v>11</v>
      </c>
      <c r="K501"/>
      <c r="U501"/>
      <c r="V501"/>
    </row>
    <row r="502" spans="1:22" ht="18" hidden="1">
      <c r="A502" s="9">
        <f>IF(Table1[[#This Row],[کد کوپ]]&lt;1,0,A501+1)</f>
        <v>501</v>
      </c>
      <c r="B502" s="9">
        <v>4778</v>
      </c>
      <c r="C502" s="10">
        <v>45498</v>
      </c>
      <c r="D502" s="11">
        <v>23.46</v>
      </c>
      <c r="E502" s="12">
        <v>2.5</v>
      </c>
      <c r="F502" s="12">
        <v>2</v>
      </c>
      <c r="G502" s="12">
        <v>1.7</v>
      </c>
      <c r="H502" s="9" t="s">
        <v>9</v>
      </c>
      <c r="I502" s="9" t="s">
        <v>10</v>
      </c>
      <c r="J502" s="9" t="s">
        <v>11</v>
      </c>
      <c r="K502"/>
      <c r="U502"/>
      <c r="V502"/>
    </row>
    <row r="503" spans="1:22" ht="18" hidden="1">
      <c r="A503" s="9">
        <f>IF(Table1[[#This Row],[کد کوپ]]&lt;1,0,A502+1)</f>
        <v>502</v>
      </c>
      <c r="B503" s="9">
        <v>4779</v>
      </c>
      <c r="C503" s="10">
        <v>45501</v>
      </c>
      <c r="D503" s="11">
        <v>24</v>
      </c>
      <c r="E503" s="12">
        <v>2.65</v>
      </c>
      <c r="F503" s="12">
        <v>1.75</v>
      </c>
      <c r="G503" s="12">
        <v>1.8</v>
      </c>
      <c r="H503" s="9" t="s">
        <v>9</v>
      </c>
      <c r="I503" s="9" t="s">
        <v>10</v>
      </c>
      <c r="J503" s="9" t="s">
        <v>11</v>
      </c>
      <c r="K503"/>
      <c r="U503"/>
      <c r="V503"/>
    </row>
    <row r="504" spans="1:22" ht="18" hidden="1">
      <c r="A504" s="9">
        <f>IF(Table1[[#This Row],[کد کوپ]]&lt;1,0,A503+1)</f>
        <v>503</v>
      </c>
      <c r="B504" s="9">
        <v>4780</v>
      </c>
      <c r="C504" s="10">
        <v>45501</v>
      </c>
      <c r="D504" s="11">
        <v>19.850000000000001</v>
      </c>
      <c r="E504" s="12">
        <v>2.95</v>
      </c>
      <c r="F504" s="12">
        <v>1.7</v>
      </c>
      <c r="G504" s="12">
        <v>1.45</v>
      </c>
      <c r="H504" s="9" t="s">
        <v>9</v>
      </c>
      <c r="I504" s="9" t="s">
        <v>10</v>
      </c>
      <c r="J504" s="9" t="s">
        <v>11</v>
      </c>
      <c r="K504"/>
      <c r="U504"/>
      <c r="V504"/>
    </row>
    <row r="505" spans="1:22" ht="18" hidden="1">
      <c r="A505" s="9">
        <f>IF(Table1[[#This Row],[کد کوپ]]&lt;1,0,A504+1)</f>
        <v>504</v>
      </c>
      <c r="B505" s="9">
        <v>4781</v>
      </c>
      <c r="C505" s="10">
        <v>45502</v>
      </c>
      <c r="D505" s="11">
        <v>24.63</v>
      </c>
      <c r="E505" s="12">
        <v>2.6</v>
      </c>
      <c r="F505" s="12">
        <v>1.95</v>
      </c>
      <c r="G505" s="12">
        <v>1.7</v>
      </c>
      <c r="H505" s="9" t="s">
        <v>9</v>
      </c>
      <c r="I505" s="9" t="s">
        <v>10</v>
      </c>
      <c r="J505" s="9" t="s">
        <v>11</v>
      </c>
      <c r="K505"/>
      <c r="U505"/>
      <c r="V505"/>
    </row>
    <row r="506" spans="1:22" ht="18" hidden="1">
      <c r="A506" s="9">
        <f>IF(Table1[[#This Row],[کد کوپ]]&lt;1,0,A505+1)</f>
        <v>505</v>
      </c>
      <c r="B506" s="9">
        <v>4782</v>
      </c>
      <c r="C506" s="10">
        <v>45506</v>
      </c>
      <c r="D506" s="11">
        <v>22.3</v>
      </c>
      <c r="E506" s="12">
        <v>2.65</v>
      </c>
      <c r="F506" s="12">
        <v>1.7</v>
      </c>
      <c r="G506" s="12">
        <v>1.8</v>
      </c>
      <c r="H506" s="9" t="s">
        <v>9</v>
      </c>
      <c r="I506" s="9" t="s">
        <v>10</v>
      </c>
      <c r="J506" s="9" t="s">
        <v>11</v>
      </c>
      <c r="K506"/>
      <c r="U506"/>
      <c r="V506"/>
    </row>
    <row r="507" spans="1:22" ht="18" hidden="1">
      <c r="A507" s="9">
        <f>IF(Table1[[#This Row],[کد کوپ]]&lt;1,0,A506+1)</f>
        <v>506</v>
      </c>
      <c r="B507" s="9">
        <v>4783</v>
      </c>
      <c r="C507" s="10">
        <v>45507</v>
      </c>
      <c r="D507" s="11">
        <v>12.98</v>
      </c>
      <c r="E507" s="12">
        <v>2.1800000000000002</v>
      </c>
      <c r="F507" s="12">
        <v>1.8</v>
      </c>
      <c r="G507" s="12">
        <v>1.2</v>
      </c>
      <c r="H507" s="9" t="s">
        <v>9</v>
      </c>
      <c r="I507" s="9" t="s">
        <v>10</v>
      </c>
      <c r="J507" s="9" t="s">
        <v>11</v>
      </c>
      <c r="K507"/>
      <c r="U507"/>
      <c r="V507"/>
    </row>
    <row r="508" spans="1:22" ht="18" hidden="1">
      <c r="A508" s="9">
        <f>IF(Table1[[#This Row],[کد کوپ]]&lt;1,0,A507+1)</f>
        <v>507</v>
      </c>
      <c r="B508" s="9">
        <v>4784</v>
      </c>
      <c r="C508" s="10">
        <v>45507</v>
      </c>
      <c r="D508" s="11">
        <v>12.44</v>
      </c>
      <c r="E508" s="12">
        <v>2</v>
      </c>
      <c r="F508" s="12">
        <v>1.7</v>
      </c>
      <c r="G508" s="12">
        <v>1.3</v>
      </c>
      <c r="H508" s="9" t="s">
        <v>9</v>
      </c>
      <c r="I508" s="9" t="s">
        <v>10</v>
      </c>
      <c r="J508" s="9" t="s">
        <v>11</v>
      </c>
      <c r="K508"/>
      <c r="U508"/>
      <c r="V508"/>
    </row>
    <row r="509" spans="1:22" ht="18" hidden="1">
      <c r="A509" s="9">
        <f>IF(Table1[[#This Row],[کد کوپ]]&lt;1,0,A508+1)</f>
        <v>508</v>
      </c>
      <c r="B509" s="9">
        <v>4785</v>
      </c>
      <c r="C509" s="10">
        <v>45507</v>
      </c>
      <c r="D509" s="11">
        <v>17.7</v>
      </c>
      <c r="E509" s="12">
        <v>2.85</v>
      </c>
      <c r="F509" s="12">
        <v>1.55</v>
      </c>
      <c r="G509" s="12">
        <v>1.55</v>
      </c>
      <c r="H509" s="9" t="s">
        <v>59</v>
      </c>
      <c r="I509" s="9" t="s">
        <v>10</v>
      </c>
      <c r="J509" s="9" t="s">
        <v>60</v>
      </c>
      <c r="K509"/>
      <c r="U509"/>
      <c r="V509"/>
    </row>
    <row r="510" spans="1:22" ht="18" hidden="1">
      <c r="A510" s="9">
        <f>IF(Table1[[#This Row],[کد کوپ]]&lt;1,0,A509+1)</f>
        <v>509</v>
      </c>
      <c r="B510" s="9">
        <v>4786</v>
      </c>
      <c r="C510" s="10">
        <v>45507</v>
      </c>
      <c r="D510" s="11">
        <v>11</v>
      </c>
      <c r="E510" s="12">
        <v>2.5499999999999998</v>
      </c>
      <c r="F510" s="12">
        <v>1.3</v>
      </c>
      <c r="G510" s="12">
        <v>1.25</v>
      </c>
      <c r="H510" s="9" t="s">
        <v>59</v>
      </c>
      <c r="I510" s="9" t="s">
        <v>10</v>
      </c>
      <c r="J510" s="9" t="s">
        <v>60</v>
      </c>
      <c r="K510"/>
      <c r="U510"/>
      <c r="V510"/>
    </row>
    <row r="511" spans="1:22" ht="18" hidden="1">
      <c r="A511" s="9">
        <f>IF(Table1[[#This Row],[کد کوپ]]&lt;1,0,A510+1)</f>
        <v>510</v>
      </c>
      <c r="B511" s="9">
        <v>4787</v>
      </c>
      <c r="C511" s="10">
        <v>45508</v>
      </c>
      <c r="D511" s="11">
        <v>18.68</v>
      </c>
      <c r="E511" s="12">
        <v>2.6</v>
      </c>
      <c r="F511" s="12">
        <v>1.58</v>
      </c>
      <c r="G511" s="12">
        <v>1.68</v>
      </c>
      <c r="H511" s="9" t="s">
        <v>9</v>
      </c>
      <c r="I511" s="9" t="s">
        <v>10</v>
      </c>
      <c r="J511" s="9" t="s">
        <v>11</v>
      </c>
      <c r="K511"/>
      <c r="U511"/>
      <c r="V511"/>
    </row>
    <row r="512" spans="1:22" ht="18" hidden="1">
      <c r="A512" s="9">
        <f>IF(Table1[[#This Row],[کد کوپ]]&lt;1,0,A511+1)</f>
        <v>511</v>
      </c>
      <c r="B512" s="9">
        <v>4788</v>
      </c>
      <c r="C512" s="10">
        <v>45508</v>
      </c>
      <c r="D512" s="11">
        <v>22.65</v>
      </c>
      <c r="E512" s="12">
        <v>2.65</v>
      </c>
      <c r="F512" s="12">
        <v>1.85</v>
      </c>
      <c r="G512" s="12">
        <v>1.6</v>
      </c>
      <c r="H512" s="9" t="s">
        <v>9</v>
      </c>
      <c r="I512" s="9" t="s">
        <v>10</v>
      </c>
      <c r="J512" s="9" t="s">
        <v>11</v>
      </c>
      <c r="K512"/>
      <c r="U512"/>
      <c r="V512"/>
    </row>
    <row r="513" spans="1:22" ht="18" hidden="1">
      <c r="A513" s="9">
        <f>IF(Table1[[#This Row],[کد کوپ]]&lt;1,0,A512+1)</f>
        <v>512</v>
      </c>
      <c r="B513" s="9">
        <v>4789</v>
      </c>
      <c r="C513" s="10">
        <v>45508</v>
      </c>
      <c r="D513" s="11">
        <v>23.05</v>
      </c>
      <c r="E513" s="12">
        <v>2.8</v>
      </c>
      <c r="F513" s="12">
        <v>2.0699999999999998</v>
      </c>
      <c r="G513" s="12">
        <v>1.55</v>
      </c>
      <c r="H513" s="9" t="s">
        <v>59</v>
      </c>
      <c r="I513" s="9" t="s">
        <v>10</v>
      </c>
      <c r="J513" s="9" t="s">
        <v>60</v>
      </c>
      <c r="K513"/>
      <c r="U513"/>
      <c r="V513"/>
    </row>
    <row r="514" spans="1:22" ht="18" hidden="1">
      <c r="A514" s="9">
        <f>IF(Table1[[#This Row],[کد کوپ]]&lt;1,0,A513+1)</f>
        <v>513</v>
      </c>
      <c r="B514" s="9">
        <v>4790</v>
      </c>
      <c r="C514" s="10">
        <v>45508</v>
      </c>
      <c r="D514" s="11">
        <v>23.5</v>
      </c>
      <c r="E514" s="12">
        <v>2.5</v>
      </c>
      <c r="F514" s="12">
        <v>1.97</v>
      </c>
      <c r="G514" s="12">
        <v>1.75</v>
      </c>
      <c r="H514" s="9" t="s">
        <v>59</v>
      </c>
      <c r="I514" s="9" t="s">
        <v>10</v>
      </c>
      <c r="J514" s="9" t="s">
        <v>60</v>
      </c>
      <c r="K514"/>
      <c r="U514"/>
      <c r="V514"/>
    </row>
    <row r="515" spans="1:22" ht="18" hidden="1">
      <c r="A515" s="9">
        <f>IF(Table1[[#This Row],[کد کوپ]]&lt;1,0,A514+1)</f>
        <v>514</v>
      </c>
      <c r="B515" s="9">
        <v>4791</v>
      </c>
      <c r="C515" s="10">
        <v>45509</v>
      </c>
      <c r="D515" s="11">
        <v>14.6</v>
      </c>
      <c r="E515" s="12">
        <v>2.4</v>
      </c>
      <c r="F515" s="12">
        <v>1.7</v>
      </c>
      <c r="G515" s="12">
        <v>1.35</v>
      </c>
      <c r="H515" s="9" t="s">
        <v>9</v>
      </c>
      <c r="I515" s="9" t="s">
        <v>10</v>
      </c>
      <c r="J515" s="9" t="s">
        <v>11</v>
      </c>
      <c r="K515"/>
      <c r="U515"/>
      <c r="V515"/>
    </row>
    <row r="516" spans="1:22" ht="18" hidden="1">
      <c r="A516" s="9">
        <f>IF(Table1[[#This Row],[کد کوپ]]&lt;1,0,A515+1)</f>
        <v>515</v>
      </c>
      <c r="B516" s="9">
        <v>4792</v>
      </c>
      <c r="C516" s="10">
        <v>45509</v>
      </c>
      <c r="D516" s="11">
        <v>12.2</v>
      </c>
      <c r="E516" s="12">
        <v>2.13</v>
      </c>
      <c r="F516" s="12">
        <v>1.7</v>
      </c>
      <c r="G516" s="12">
        <v>1.22</v>
      </c>
      <c r="H516" s="9" t="s">
        <v>9</v>
      </c>
      <c r="I516" s="9" t="s">
        <v>10</v>
      </c>
      <c r="J516" s="9" t="s">
        <v>11</v>
      </c>
      <c r="K516"/>
      <c r="U516"/>
      <c r="V516"/>
    </row>
    <row r="517" spans="1:22" ht="18" hidden="1">
      <c r="A517" s="9">
        <f>IF(Table1[[#This Row],[کد کوپ]]&lt;1,0,A516+1)</f>
        <v>516</v>
      </c>
      <c r="B517" s="9">
        <v>4793</v>
      </c>
      <c r="C517" s="10">
        <v>45509</v>
      </c>
      <c r="D517" s="11">
        <v>16.53</v>
      </c>
      <c r="E517" s="12">
        <v>2.4</v>
      </c>
      <c r="F517" s="12">
        <v>1.8</v>
      </c>
      <c r="G517" s="12">
        <v>1.35</v>
      </c>
      <c r="H517" s="9" t="s">
        <v>9</v>
      </c>
      <c r="I517" s="9" t="s">
        <v>10</v>
      </c>
      <c r="J517" s="9" t="s">
        <v>11</v>
      </c>
      <c r="K517"/>
      <c r="U517"/>
      <c r="V517"/>
    </row>
    <row r="518" spans="1:22" ht="18" hidden="1">
      <c r="A518" s="9">
        <f>IF(Table1[[#This Row],[کد کوپ]]&lt;1,0,A517+1)</f>
        <v>517</v>
      </c>
      <c r="B518" s="9">
        <v>4794</v>
      </c>
      <c r="C518" s="10">
        <v>45509</v>
      </c>
      <c r="D518" s="11">
        <v>9.2799999999999994</v>
      </c>
      <c r="E518" s="12">
        <v>1.9</v>
      </c>
      <c r="F518" s="12">
        <v>1.5</v>
      </c>
      <c r="G518" s="12">
        <v>1.2</v>
      </c>
      <c r="H518" s="9" t="s">
        <v>9</v>
      </c>
      <c r="I518" s="9" t="s">
        <v>10</v>
      </c>
      <c r="J518" s="9" t="s">
        <v>11</v>
      </c>
      <c r="K518"/>
      <c r="U518"/>
      <c r="V518"/>
    </row>
    <row r="519" spans="1:22" ht="18" hidden="1">
      <c r="A519" s="9">
        <f>IF(Table1[[#This Row],[کد کوپ]]&lt;1,0,A518+1)</f>
        <v>518</v>
      </c>
      <c r="B519" s="9">
        <v>4795</v>
      </c>
      <c r="C519" s="10">
        <v>45510</v>
      </c>
      <c r="D519" s="11">
        <v>26.6</v>
      </c>
      <c r="E519" s="12">
        <v>3.03</v>
      </c>
      <c r="F519" s="12">
        <v>1.98</v>
      </c>
      <c r="G519" s="12">
        <v>1.63</v>
      </c>
      <c r="H519" s="9" t="s">
        <v>59</v>
      </c>
      <c r="I519" s="9" t="s">
        <v>10</v>
      </c>
      <c r="J519" s="9" t="s">
        <v>60</v>
      </c>
      <c r="K519"/>
      <c r="U519"/>
      <c r="V519"/>
    </row>
    <row r="520" spans="1:22" ht="18" hidden="1">
      <c r="A520" s="9">
        <f>IF(Table1[[#This Row],[کد کوپ]]&lt;1,0,A519+1)</f>
        <v>519</v>
      </c>
      <c r="B520" s="9">
        <v>4796</v>
      </c>
      <c r="C520" s="10">
        <v>45510</v>
      </c>
      <c r="D520" s="11">
        <v>13.5</v>
      </c>
      <c r="E520" s="12">
        <v>2.4</v>
      </c>
      <c r="F520" s="12">
        <v>1.55</v>
      </c>
      <c r="G520" s="12">
        <v>1.25</v>
      </c>
      <c r="H520" s="9" t="s">
        <v>9</v>
      </c>
      <c r="I520" s="9" t="s">
        <v>10</v>
      </c>
      <c r="J520" s="9" t="s">
        <v>11</v>
      </c>
      <c r="K520"/>
      <c r="U520"/>
      <c r="V520"/>
    </row>
    <row r="521" spans="1:22" ht="18" hidden="1">
      <c r="A521" s="9">
        <f>IF(Table1[[#This Row],[کد کوپ]]&lt;1,0,A520+1)</f>
        <v>520</v>
      </c>
      <c r="B521" s="9">
        <v>4797</v>
      </c>
      <c r="C521" s="10">
        <v>45510</v>
      </c>
      <c r="D521" s="11">
        <v>15</v>
      </c>
      <c r="E521" s="12">
        <v>2.6</v>
      </c>
      <c r="F521" s="12">
        <v>1.7</v>
      </c>
      <c r="G521" s="12">
        <v>1.25</v>
      </c>
      <c r="H521" s="9" t="s">
        <v>9</v>
      </c>
      <c r="I521" s="9" t="s">
        <v>10</v>
      </c>
      <c r="J521" s="9" t="s">
        <v>11</v>
      </c>
      <c r="K521"/>
      <c r="U521"/>
      <c r="V521"/>
    </row>
    <row r="522" spans="1:22" ht="18">
      <c r="A522" s="9">
        <f>IF(Table1[[#This Row],[کد کوپ]]&lt;1,0,A521+1)</f>
        <v>521</v>
      </c>
      <c r="B522" s="9">
        <v>4798</v>
      </c>
      <c r="C522" s="10">
        <v>45510</v>
      </c>
      <c r="D522" s="11">
        <v>33.299999999999997</v>
      </c>
      <c r="E522" s="12">
        <v>2.9</v>
      </c>
      <c r="F522" s="12">
        <v>2.1</v>
      </c>
      <c r="G522" s="12">
        <v>2.0499999999999998</v>
      </c>
      <c r="H522" s="9" t="s">
        <v>61</v>
      </c>
      <c r="I522" s="9" t="s">
        <v>27</v>
      </c>
      <c r="J522" s="9" t="s">
        <v>62</v>
      </c>
      <c r="K522"/>
      <c r="U522"/>
      <c r="V522"/>
    </row>
    <row r="523" spans="1:22" ht="18">
      <c r="A523" s="9">
        <f>IF(Table1[[#This Row],[کد کوپ]]&lt;1,0,A522+1)</f>
        <v>522</v>
      </c>
      <c r="B523" s="9">
        <v>4799</v>
      </c>
      <c r="C523" s="10">
        <v>45510</v>
      </c>
      <c r="D523" s="11">
        <v>19.149999999999999</v>
      </c>
      <c r="E523" s="12">
        <v>1.95</v>
      </c>
      <c r="F523" s="12">
        <v>1.9</v>
      </c>
      <c r="G523" s="12">
        <v>1.9</v>
      </c>
      <c r="H523" s="9" t="s">
        <v>61</v>
      </c>
      <c r="I523" s="9" t="s">
        <v>27</v>
      </c>
      <c r="J523" s="9" t="s">
        <v>62</v>
      </c>
      <c r="K523"/>
      <c r="U523"/>
      <c r="V523"/>
    </row>
    <row r="524" spans="1:22" ht="18" hidden="1">
      <c r="A524" s="9">
        <f>IF(Table1[[#This Row],[کد کوپ]]&lt;1,0,A523+1)</f>
        <v>523</v>
      </c>
      <c r="B524" s="9">
        <v>4800</v>
      </c>
      <c r="C524" s="10">
        <v>45511</v>
      </c>
      <c r="D524" s="11">
        <v>27.92</v>
      </c>
      <c r="E524" s="12">
        <v>2.85</v>
      </c>
      <c r="F524" s="12">
        <v>1.97</v>
      </c>
      <c r="G524" s="12">
        <v>1.77</v>
      </c>
      <c r="H524" s="9" t="s">
        <v>9</v>
      </c>
      <c r="I524" s="9" t="s">
        <v>10</v>
      </c>
      <c r="J524" s="9" t="s">
        <v>11</v>
      </c>
      <c r="K524"/>
      <c r="U524"/>
      <c r="V524"/>
    </row>
    <row r="525" spans="1:22" ht="18" hidden="1">
      <c r="A525" s="9">
        <f>IF(Table1[[#This Row],[کد کوپ]]&lt;1,0,A524+1)</f>
        <v>524</v>
      </c>
      <c r="B525" s="9">
        <v>4801</v>
      </c>
      <c r="C525" s="10">
        <v>45511</v>
      </c>
      <c r="D525" s="11">
        <v>24.6</v>
      </c>
      <c r="E525" s="12">
        <v>2.8</v>
      </c>
      <c r="F525" s="12">
        <v>2.02</v>
      </c>
      <c r="G525" s="12">
        <v>1.6</v>
      </c>
      <c r="H525" s="9" t="s">
        <v>59</v>
      </c>
      <c r="I525" s="9" t="s">
        <v>10</v>
      </c>
      <c r="J525" s="9" t="s">
        <v>60</v>
      </c>
      <c r="K525"/>
      <c r="U525"/>
      <c r="V525"/>
    </row>
    <row r="526" spans="1:22" ht="18">
      <c r="A526" s="9">
        <f>IF(Table1[[#This Row],[کد کوپ]]&lt;1,0,A525+1)</f>
        <v>525</v>
      </c>
      <c r="B526" s="9">
        <v>4802</v>
      </c>
      <c r="C526" s="10">
        <v>45511</v>
      </c>
      <c r="D526" s="11">
        <v>34.799999999999997</v>
      </c>
      <c r="E526" s="12">
        <v>3.2</v>
      </c>
      <c r="F526" s="12">
        <v>2.0699999999999998</v>
      </c>
      <c r="G526" s="12">
        <v>2.0299999999999998</v>
      </c>
      <c r="H526" s="9" t="s">
        <v>61</v>
      </c>
      <c r="I526" s="9" t="s">
        <v>27</v>
      </c>
      <c r="J526" s="9" t="s">
        <v>62</v>
      </c>
      <c r="K526"/>
      <c r="U526"/>
      <c r="V526"/>
    </row>
    <row r="527" spans="1:22" ht="18">
      <c r="A527" s="9">
        <f>IF(Table1[[#This Row],[کد کوپ]]&lt;1,0,A526+1)</f>
        <v>526</v>
      </c>
      <c r="B527" s="9">
        <v>4803</v>
      </c>
      <c r="C527" s="10">
        <v>45511</v>
      </c>
      <c r="D527" s="11">
        <v>20.9</v>
      </c>
      <c r="E527" s="12">
        <v>2.0499999999999998</v>
      </c>
      <c r="F527" s="12">
        <v>1.98</v>
      </c>
      <c r="G527" s="12">
        <v>1.9</v>
      </c>
      <c r="H527" s="9" t="s">
        <v>61</v>
      </c>
      <c r="I527" s="9" t="s">
        <v>27</v>
      </c>
      <c r="J527" s="9" t="s">
        <v>62</v>
      </c>
      <c r="K527"/>
      <c r="U527"/>
      <c r="V527"/>
    </row>
    <row r="528" spans="1:22" ht="18" hidden="1">
      <c r="A528" s="9">
        <f>IF(Table1[[#This Row],[کد کوپ]]&lt;1,0,A527+1)</f>
        <v>527</v>
      </c>
      <c r="B528" s="9">
        <v>4804</v>
      </c>
      <c r="C528" s="10">
        <v>45511</v>
      </c>
      <c r="D528" s="11">
        <v>28.6</v>
      </c>
      <c r="E528" s="12">
        <v>3</v>
      </c>
      <c r="F528" s="12">
        <v>2</v>
      </c>
      <c r="G528" s="12">
        <v>1.7</v>
      </c>
      <c r="H528" s="9" t="s">
        <v>9</v>
      </c>
      <c r="I528" s="9" t="s">
        <v>10</v>
      </c>
      <c r="J528" s="9" t="s">
        <v>11</v>
      </c>
      <c r="K528"/>
      <c r="U528"/>
      <c r="V528"/>
    </row>
    <row r="529" spans="1:22" ht="18" hidden="1">
      <c r="A529" s="9">
        <f>IF(Table1[[#This Row],[کد کوپ]]&lt;1,0,A528+1)</f>
        <v>528</v>
      </c>
      <c r="B529" s="9">
        <v>4805</v>
      </c>
      <c r="C529" s="10">
        <v>45513</v>
      </c>
      <c r="D529" s="11">
        <v>25.6</v>
      </c>
      <c r="E529" s="12">
        <v>2.87</v>
      </c>
      <c r="F529" s="12">
        <v>1.8</v>
      </c>
      <c r="G529" s="12">
        <v>1.8</v>
      </c>
      <c r="H529" s="9" t="s">
        <v>9</v>
      </c>
      <c r="I529" s="9" t="s">
        <v>10</v>
      </c>
      <c r="J529" s="9" t="s">
        <v>11</v>
      </c>
      <c r="K529"/>
      <c r="U529"/>
      <c r="V529"/>
    </row>
    <row r="530" spans="1:22" ht="18" hidden="1">
      <c r="A530" s="9">
        <f>IF(Table1[[#This Row],[کد کوپ]]&lt;1,0,A529+1)</f>
        <v>529</v>
      </c>
      <c r="B530" s="9">
        <v>4806</v>
      </c>
      <c r="C530" s="10">
        <v>45513</v>
      </c>
      <c r="D530" s="11">
        <v>16.82</v>
      </c>
      <c r="E530" s="12">
        <v>3.15</v>
      </c>
      <c r="F530" s="12">
        <v>1.5</v>
      </c>
      <c r="G530" s="12">
        <v>1.4</v>
      </c>
      <c r="H530" s="9" t="s">
        <v>59</v>
      </c>
      <c r="I530" s="9" t="s">
        <v>10</v>
      </c>
      <c r="J530" s="9" t="s">
        <v>60</v>
      </c>
      <c r="K530"/>
      <c r="U530"/>
      <c r="V530"/>
    </row>
    <row r="531" spans="1:22" ht="18" hidden="1">
      <c r="A531" s="9">
        <f>IF(Table1[[#This Row],[کد کوپ]]&lt;1,0,A530+1)</f>
        <v>530</v>
      </c>
      <c r="B531" s="9">
        <v>4807</v>
      </c>
      <c r="C531" s="10">
        <v>45513</v>
      </c>
      <c r="D531" s="11">
        <v>16.13</v>
      </c>
      <c r="E531" s="12">
        <v>2.75</v>
      </c>
      <c r="F531" s="12">
        <v>1.68</v>
      </c>
      <c r="G531" s="12">
        <v>1.4</v>
      </c>
      <c r="H531" s="9" t="s">
        <v>59</v>
      </c>
      <c r="I531" s="9" t="s">
        <v>10</v>
      </c>
      <c r="J531" s="9" t="s">
        <v>60</v>
      </c>
      <c r="K531"/>
      <c r="U531"/>
      <c r="V531"/>
    </row>
    <row r="532" spans="1:22" ht="18" hidden="1">
      <c r="A532" s="9">
        <f>IF(Table1[[#This Row],[کد کوپ]]&lt;1,0,A531+1)</f>
        <v>531</v>
      </c>
      <c r="B532" s="9">
        <v>4808</v>
      </c>
      <c r="C532" s="10">
        <v>45514</v>
      </c>
      <c r="D532" s="11">
        <v>26.27</v>
      </c>
      <c r="E532" s="12">
        <v>2.85</v>
      </c>
      <c r="F532" s="12">
        <v>1.8</v>
      </c>
      <c r="G532" s="12">
        <v>1.8</v>
      </c>
      <c r="H532" s="9" t="s">
        <v>9</v>
      </c>
      <c r="I532" s="9" t="s">
        <v>10</v>
      </c>
      <c r="J532" s="9" t="s">
        <v>11</v>
      </c>
      <c r="K532"/>
      <c r="U532"/>
      <c r="V532"/>
    </row>
    <row r="533" spans="1:22" ht="18" hidden="1">
      <c r="A533" s="9">
        <f>IF(Table1[[#This Row],[کد کوپ]]&lt;1,0,A532+1)</f>
        <v>532</v>
      </c>
      <c r="B533" s="9">
        <v>4809</v>
      </c>
      <c r="C533" s="10">
        <v>45514</v>
      </c>
      <c r="D533" s="11">
        <v>23.02</v>
      </c>
      <c r="E533" s="12">
        <v>2.85</v>
      </c>
      <c r="F533" s="12">
        <v>1.8</v>
      </c>
      <c r="G533" s="12">
        <v>1.7</v>
      </c>
      <c r="H533" s="9" t="s">
        <v>9</v>
      </c>
      <c r="I533" s="9" t="s">
        <v>10</v>
      </c>
      <c r="J533" s="9" t="s">
        <v>45</v>
      </c>
      <c r="K533"/>
      <c r="U533"/>
      <c r="V533"/>
    </row>
    <row r="534" spans="1:22" ht="18" hidden="1">
      <c r="A534" s="9">
        <f>IF(Table1[[#This Row],[کد کوپ]]&lt;1,0,A533+1)</f>
        <v>533</v>
      </c>
      <c r="B534" s="9">
        <v>4810</v>
      </c>
      <c r="C534" s="10">
        <v>45514</v>
      </c>
      <c r="D534" s="11">
        <v>25</v>
      </c>
      <c r="E534" s="12">
        <v>2.75</v>
      </c>
      <c r="F534" s="12">
        <v>1.83</v>
      </c>
      <c r="G534" s="12">
        <v>1.78</v>
      </c>
      <c r="H534" s="9" t="s">
        <v>9</v>
      </c>
      <c r="I534" s="9" t="s">
        <v>10</v>
      </c>
      <c r="J534" s="9" t="s">
        <v>45</v>
      </c>
      <c r="K534"/>
      <c r="U534"/>
      <c r="V534"/>
    </row>
    <row r="535" spans="1:22" ht="18" hidden="1">
      <c r="A535" s="9">
        <f>IF(Table1[[#This Row],[کد کوپ]]&lt;1,0,A534+1)</f>
        <v>534</v>
      </c>
      <c r="B535" s="9">
        <v>4811</v>
      </c>
      <c r="C535" s="10">
        <v>45515</v>
      </c>
      <c r="D535" s="11">
        <v>22.17</v>
      </c>
      <c r="E535" s="12">
        <v>2.4</v>
      </c>
      <c r="F535" s="12">
        <v>1.8</v>
      </c>
      <c r="G535" s="12">
        <v>1.78</v>
      </c>
      <c r="H535" s="9" t="s">
        <v>9</v>
      </c>
      <c r="I535" s="9" t="s">
        <v>10</v>
      </c>
      <c r="J535" s="9" t="s">
        <v>11</v>
      </c>
      <c r="K535"/>
      <c r="U535"/>
      <c r="V535"/>
    </row>
    <row r="536" spans="1:22" ht="18" hidden="1">
      <c r="A536" s="9">
        <f>IF(Table1[[#This Row],[کد کوپ]]&lt;1,0,A535+1)</f>
        <v>535</v>
      </c>
      <c r="B536" s="9">
        <v>4812</v>
      </c>
      <c r="C536" s="10">
        <v>45515</v>
      </c>
      <c r="D536" s="11">
        <v>23.5</v>
      </c>
      <c r="E536" s="12">
        <v>2.5499999999999998</v>
      </c>
      <c r="F536" s="12">
        <v>1.83</v>
      </c>
      <c r="G536" s="12">
        <v>1.8</v>
      </c>
      <c r="H536" s="9" t="s">
        <v>9</v>
      </c>
      <c r="I536" s="9" t="s">
        <v>10</v>
      </c>
      <c r="J536" s="9" t="s">
        <v>11</v>
      </c>
      <c r="K536"/>
      <c r="U536"/>
      <c r="V536"/>
    </row>
    <row r="537" spans="1:22" ht="18" hidden="1">
      <c r="A537" s="9">
        <f>IF(Table1[[#This Row],[کد کوپ]]&lt;1,0,A536+1)</f>
        <v>536</v>
      </c>
      <c r="B537" s="9">
        <v>4813</v>
      </c>
      <c r="C537" s="10">
        <v>45515</v>
      </c>
      <c r="D537" s="11">
        <v>28.4</v>
      </c>
      <c r="E537" s="12">
        <v>3.15</v>
      </c>
      <c r="F537" s="12">
        <v>2.0499999999999998</v>
      </c>
      <c r="G537" s="12">
        <v>1.68</v>
      </c>
      <c r="H537" s="9" t="s">
        <v>59</v>
      </c>
      <c r="I537" s="9" t="s">
        <v>10</v>
      </c>
      <c r="J537" s="9" t="s">
        <v>60</v>
      </c>
      <c r="K537"/>
      <c r="U537"/>
      <c r="V537"/>
    </row>
    <row r="538" spans="1:22" ht="18" hidden="1">
      <c r="A538" s="9">
        <f>IF(Table1[[#This Row],[کد کوپ]]&lt;1,0,A537+1)</f>
        <v>537</v>
      </c>
      <c r="B538" s="9">
        <v>4814</v>
      </c>
      <c r="C538" s="10">
        <v>45515</v>
      </c>
      <c r="D538" s="11">
        <v>22</v>
      </c>
      <c r="E538" s="12">
        <v>2.9</v>
      </c>
      <c r="F538" s="12">
        <v>1.85</v>
      </c>
      <c r="G538" s="12">
        <v>1.5</v>
      </c>
      <c r="H538" s="9" t="s">
        <v>9</v>
      </c>
      <c r="I538" s="9" t="s">
        <v>10</v>
      </c>
      <c r="J538" s="9" t="s">
        <v>11</v>
      </c>
      <c r="K538"/>
      <c r="U538"/>
      <c r="V538"/>
    </row>
    <row r="539" spans="1:22" ht="18" hidden="1">
      <c r="A539" s="9">
        <f>IF(Table1[[#This Row],[کد کوپ]]&lt;1,0,A538+1)</f>
        <v>538</v>
      </c>
      <c r="B539" s="9">
        <v>4815</v>
      </c>
      <c r="C539" s="10">
        <v>45516</v>
      </c>
      <c r="D539" s="11">
        <v>18.78</v>
      </c>
      <c r="E539" s="12">
        <v>3</v>
      </c>
      <c r="F539" s="12">
        <v>1.52</v>
      </c>
      <c r="G539" s="12">
        <v>1.5</v>
      </c>
      <c r="H539" s="9" t="s">
        <v>9</v>
      </c>
      <c r="I539" s="9" t="s">
        <v>10</v>
      </c>
      <c r="J539" s="9" t="s">
        <v>11</v>
      </c>
      <c r="K539"/>
      <c r="U539"/>
      <c r="V539"/>
    </row>
    <row r="540" spans="1:22" ht="18" hidden="1">
      <c r="A540" s="9">
        <f>IF(Table1[[#This Row],[کد کوپ]]&lt;1,0,A539+1)</f>
        <v>539</v>
      </c>
      <c r="B540" s="9">
        <v>4816</v>
      </c>
      <c r="C540" s="10">
        <v>45516</v>
      </c>
      <c r="D540" s="11">
        <v>8.83</v>
      </c>
      <c r="E540" s="12">
        <v>2</v>
      </c>
      <c r="F540" s="12">
        <v>1.28</v>
      </c>
      <c r="G540" s="12">
        <v>1.25</v>
      </c>
      <c r="H540" s="9" t="s">
        <v>9</v>
      </c>
      <c r="I540" s="9" t="s">
        <v>10</v>
      </c>
      <c r="J540" s="9" t="s">
        <v>11</v>
      </c>
      <c r="K540"/>
      <c r="U540"/>
      <c r="V540"/>
    </row>
    <row r="541" spans="1:22" ht="18" hidden="1">
      <c r="A541" s="9">
        <f>IF(Table1[[#This Row],[کد کوپ]]&lt;1,0,A540+1)</f>
        <v>540</v>
      </c>
      <c r="B541" s="9">
        <v>4817</v>
      </c>
      <c r="C541" s="10">
        <v>45516</v>
      </c>
      <c r="D541" s="11">
        <v>16.45</v>
      </c>
      <c r="E541" s="12">
        <v>2.0699999999999998</v>
      </c>
      <c r="F541" s="12">
        <v>1.75</v>
      </c>
      <c r="G541" s="12">
        <v>1.65</v>
      </c>
      <c r="H541" s="9" t="s">
        <v>9</v>
      </c>
      <c r="I541" s="9" t="s">
        <v>10</v>
      </c>
      <c r="J541" s="9" t="s">
        <v>11</v>
      </c>
      <c r="K541"/>
      <c r="U541"/>
      <c r="V541"/>
    </row>
    <row r="542" spans="1:22" ht="18" hidden="1">
      <c r="A542" s="9">
        <f>IF(Table1[[#This Row],[کد کوپ]]&lt;1,0,A541+1)</f>
        <v>541</v>
      </c>
      <c r="B542" s="9">
        <v>4818</v>
      </c>
      <c r="C542" s="10">
        <v>45516</v>
      </c>
      <c r="D542" s="11">
        <v>10.15</v>
      </c>
      <c r="E542" s="12">
        <v>1.9</v>
      </c>
      <c r="F542" s="12">
        <v>1.7</v>
      </c>
      <c r="G542" s="12">
        <v>1.1000000000000001</v>
      </c>
      <c r="H542" s="9" t="s">
        <v>9</v>
      </c>
      <c r="I542" s="9" t="s">
        <v>10</v>
      </c>
      <c r="J542" s="9" t="s">
        <v>11</v>
      </c>
      <c r="K542"/>
      <c r="U542"/>
      <c r="V542"/>
    </row>
    <row r="543" spans="1:22" ht="18" hidden="1">
      <c r="A543" s="9">
        <f>IF(Table1[[#This Row],[کد کوپ]]&lt;1,0,A542+1)</f>
        <v>542</v>
      </c>
      <c r="B543" s="9">
        <v>4819</v>
      </c>
      <c r="C543" s="10">
        <v>45517</v>
      </c>
      <c r="D543" s="11">
        <v>24.2</v>
      </c>
      <c r="E543" s="12">
        <v>3</v>
      </c>
      <c r="F543" s="12">
        <v>1.8</v>
      </c>
      <c r="G543" s="12">
        <v>1.7</v>
      </c>
      <c r="H543" s="9" t="s">
        <v>9</v>
      </c>
      <c r="I543" s="9" t="s">
        <v>10</v>
      </c>
      <c r="J543" s="9" t="s">
        <v>11</v>
      </c>
      <c r="K543"/>
      <c r="U543"/>
      <c r="V543"/>
    </row>
    <row r="544" spans="1:22" ht="18" hidden="1">
      <c r="A544" s="9">
        <f>IF(Table1[[#This Row],[کد کوپ]]&lt;1,0,A543+1)</f>
        <v>543</v>
      </c>
      <c r="B544" s="9">
        <v>4820</v>
      </c>
      <c r="C544" s="10">
        <v>45517</v>
      </c>
      <c r="D544" s="11">
        <v>18.899999999999999</v>
      </c>
      <c r="E544" s="12">
        <v>2.0499999999999998</v>
      </c>
      <c r="F544" s="12">
        <v>2</v>
      </c>
      <c r="G544" s="12">
        <v>1.67</v>
      </c>
      <c r="H544" s="9" t="s">
        <v>9</v>
      </c>
      <c r="I544" s="9" t="s">
        <v>10</v>
      </c>
      <c r="J544" s="9" t="s">
        <v>11</v>
      </c>
      <c r="K544"/>
      <c r="U544"/>
      <c r="V544"/>
    </row>
    <row r="545" spans="1:22" ht="18" hidden="1">
      <c r="A545" s="9">
        <f>IF(Table1[[#This Row],[کد کوپ]]&lt;1,0,A544+1)</f>
        <v>544</v>
      </c>
      <c r="B545" s="9">
        <v>4821</v>
      </c>
      <c r="C545" s="10">
        <v>45517</v>
      </c>
      <c r="D545" s="11">
        <v>8.8000000000000007</v>
      </c>
      <c r="E545" s="12">
        <v>2.2000000000000002</v>
      </c>
      <c r="F545" s="12">
        <v>1.2</v>
      </c>
      <c r="G545" s="12">
        <v>1.1499999999999999</v>
      </c>
      <c r="H545" s="9" t="s">
        <v>9</v>
      </c>
      <c r="I545" s="9" t="s">
        <v>10</v>
      </c>
      <c r="J545" s="9" t="s">
        <v>11</v>
      </c>
      <c r="K545"/>
      <c r="U545"/>
      <c r="V545"/>
    </row>
    <row r="546" spans="1:22" ht="18" hidden="1">
      <c r="A546" s="9">
        <f>IF(Table1[[#This Row],[کد کوپ]]&lt;1,0,A545+1)</f>
        <v>545</v>
      </c>
      <c r="B546" s="9">
        <v>4822</v>
      </c>
      <c r="C546" s="10">
        <v>45517</v>
      </c>
      <c r="D546" s="11">
        <v>14.9</v>
      </c>
      <c r="E546" s="12">
        <v>2.95</v>
      </c>
      <c r="F546" s="12">
        <v>1.8</v>
      </c>
      <c r="G546" s="12">
        <v>1</v>
      </c>
      <c r="H546" s="9" t="s">
        <v>9</v>
      </c>
      <c r="I546" s="9" t="s">
        <v>10</v>
      </c>
      <c r="J546" s="9" t="s">
        <v>11</v>
      </c>
      <c r="K546"/>
      <c r="U546"/>
      <c r="V546"/>
    </row>
    <row r="547" spans="1:22" ht="18" hidden="1">
      <c r="A547" s="9">
        <f>IF(Table1[[#This Row],[کد کوپ]]&lt;1,0,A546+1)</f>
        <v>546</v>
      </c>
      <c r="B547" s="9">
        <v>4823</v>
      </c>
      <c r="C547" s="10">
        <v>45517</v>
      </c>
      <c r="D547" s="11">
        <v>11</v>
      </c>
      <c r="E547" s="12">
        <v>2</v>
      </c>
      <c r="F547" s="12">
        <v>1.65</v>
      </c>
      <c r="G547" s="12">
        <v>1.1499999999999999</v>
      </c>
      <c r="H547" s="9" t="s">
        <v>9</v>
      </c>
      <c r="I547" s="9" t="s">
        <v>10</v>
      </c>
      <c r="J547" s="9" t="s">
        <v>11</v>
      </c>
      <c r="K547"/>
      <c r="U547"/>
      <c r="V547"/>
    </row>
    <row r="548" spans="1:22" ht="18" hidden="1">
      <c r="A548" s="9">
        <f>IF(Table1[[#This Row],[کد کوپ]]&lt;1,0,A547+1)</f>
        <v>547</v>
      </c>
      <c r="B548" s="9">
        <v>4824</v>
      </c>
      <c r="C548" s="10">
        <v>45518</v>
      </c>
      <c r="D548" s="11">
        <v>15.6</v>
      </c>
      <c r="E548" s="12">
        <v>2.4</v>
      </c>
      <c r="F548" s="12">
        <v>1.75</v>
      </c>
      <c r="G548" s="12">
        <v>1.2</v>
      </c>
      <c r="H548" s="9" t="s">
        <v>9</v>
      </c>
      <c r="I548" s="9" t="s">
        <v>10</v>
      </c>
      <c r="J548" s="9" t="s">
        <v>45</v>
      </c>
      <c r="K548"/>
      <c r="U548"/>
      <c r="V548"/>
    </row>
    <row r="549" spans="1:22" ht="18" hidden="1">
      <c r="A549" s="9">
        <f>IF(Table1[[#This Row],[کد کوپ]]&lt;1,0,A548+1)</f>
        <v>548</v>
      </c>
      <c r="B549" s="9">
        <v>4825</v>
      </c>
      <c r="C549" s="10">
        <v>45518</v>
      </c>
      <c r="D549" s="11">
        <v>24.8</v>
      </c>
      <c r="E549" s="12">
        <v>3.2</v>
      </c>
      <c r="F549" s="12">
        <v>1.7</v>
      </c>
      <c r="G549" s="12">
        <v>1.6</v>
      </c>
      <c r="H549" s="9" t="s">
        <v>9</v>
      </c>
      <c r="I549" s="9" t="s">
        <v>10</v>
      </c>
      <c r="J549" s="9" t="s">
        <v>45</v>
      </c>
      <c r="K549"/>
      <c r="U549"/>
      <c r="V549"/>
    </row>
    <row r="550" spans="1:22" ht="18" hidden="1">
      <c r="A550" s="9">
        <f>IF(Table1[[#This Row],[کد کوپ]]&lt;1,0,A549+1)</f>
        <v>549</v>
      </c>
      <c r="B550" s="9">
        <v>4826</v>
      </c>
      <c r="C550" s="10">
        <v>45519</v>
      </c>
      <c r="D550" s="11">
        <v>25.7</v>
      </c>
      <c r="E550" s="12">
        <v>3.07</v>
      </c>
      <c r="F550" s="12">
        <v>2.02</v>
      </c>
      <c r="G550" s="12">
        <v>1.57</v>
      </c>
      <c r="H550" s="9" t="s">
        <v>59</v>
      </c>
      <c r="I550" s="9" t="s">
        <v>10</v>
      </c>
      <c r="J550" s="9" t="s">
        <v>60</v>
      </c>
      <c r="K550"/>
      <c r="U550"/>
      <c r="V550"/>
    </row>
    <row r="551" spans="1:22" ht="18" hidden="1">
      <c r="A551" s="9">
        <f>IF(Table1[[#This Row],[کد کوپ]]&lt;1,0,A550+1)</f>
        <v>550</v>
      </c>
      <c r="B551" s="9">
        <v>4827</v>
      </c>
      <c r="C551" s="10">
        <v>45522</v>
      </c>
      <c r="D551" s="11">
        <v>27.5</v>
      </c>
      <c r="E551" s="12">
        <v>3</v>
      </c>
      <c r="F551" s="12">
        <v>1.8</v>
      </c>
      <c r="G551" s="12">
        <v>1.8</v>
      </c>
      <c r="H551" s="9" t="s">
        <v>9</v>
      </c>
      <c r="I551" s="9" t="s">
        <v>10</v>
      </c>
      <c r="J551" s="9" t="s">
        <v>45</v>
      </c>
      <c r="K551"/>
      <c r="U551"/>
      <c r="V551"/>
    </row>
    <row r="552" spans="1:22" ht="18" hidden="1">
      <c r="A552" s="9">
        <f>IF(Table1[[#This Row],[کد کوپ]]&lt;1,0,A551+1)</f>
        <v>551</v>
      </c>
      <c r="B552" s="9">
        <v>4828</v>
      </c>
      <c r="C552" s="10">
        <v>45522</v>
      </c>
      <c r="D552" s="11">
        <v>24.6</v>
      </c>
      <c r="E552" s="12">
        <v>2.85</v>
      </c>
      <c r="F552" s="12">
        <v>1.8</v>
      </c>
      <c r="G552" s="12">
        <v>1.75</v>
      </c>
      <c r="H552" s="9" t="s">
        <v>9</v>
      </c>
      <c r="I552" s="9" t="s">
        <v>10</v>
      </c>
      <c r="J552" s="9" t="s">
        <v>45</v>
      </c>
      <c r="K552"/>
      <c r="U552"/>
      <c r="V552"/>
    </row>
    <row r="553" spans="1:22" ht="18" hidden="1">
      <c r="A553" s="9">
        <f>IF(Table1[[#This Row],[کد کوپ]]&lt;1,0,A552+1)</f>
        <v>552</v>
      </c>
      <c r="B553" s="9">
        <v>4829</v>
      </c>
      <c r="C553" s="10">
        <v>45522</v>
      </c>
      <c r="D553" s="11">
        <v>18.8</v>
      </c>
      <c r="E553" s="12">
        <v>2.7</v>
      </c>
      <c r="F553" s="12">
        <v>1.8</v>
      </c>
      <c r="G553" s="12">
        <v>1.35</v>
      </c>
      <c r="H553" s="9" t="s">
        <v>57</v>
      </c>
      <c r="I553" s="9" t="s">
        <v>10</v>
      </c>
      <c r="J553" s="9" t="s">
        <v>45</v>
      </c>
      <c r="K553"/>
      <c r="U553"/>
      <c r="V553"/>
    </row>
    <row r="554" spans="1:22" ht="18" hidden="1">
      <c r="A554" s="9">
        <f>IF(Table1[[#This Row],[کد کوپ]]&lt;1,0,A553+1)</f>
        <v>553</v>
      </c>
      <c r="B554" s="9">
        <v>4830</v>
      </c>
      <c r="C554" s="10">
        <v>45524</v>
      </c>
      <c r="D554" s="11">
        <v>19.61</v>
      </c>
      <c r="E554" s="12">
        <v>2.8</v>
      </c>
      <c r="F554" s="12">
        <v>1.8</v>
      </c>
      <c r="G554" s="12">
        <v>1.4</v>
      </c>
      <c r="H554" s="9" t="s">
        <v>9</v>
      </c>
      <c r="I554" s="9" t="s">
        <v>10</v>
      </c>
      <c r="J554" s="9" t="s">
        <v>11</v>
      </c>
      <c r="K554"/>
      <c r="U554"/>
      <c r="V554"/>
    </row>
    <row r="555" spans="1:22" ht="18" hidden="1">
      <c r="A555" s="9">
        <f>IF(Table1[[#This Row],[کد کوپ]]&lt;1,0,A554+1)</f>
        <v>554</v>
      </c>
      <c r="B555" s="9">
        <v>4831</v>
      </c>
      <c r="C555" s="10">
        <v>45525</v>
      </c>
      <c r="D555" s="11">
        <v>26.7</v>
      </c>
      <c r="E555" s="12">
        <v>3.15</v>
      </c>
      <c r="F555" s="12">
        <v>2.0699999999999998</v>
      </c>
      <c r="G555" s="12">
        <v>1.5</v>
      </c>
      <c r="H555" s="9" t="s">
        <v>63</v>
      </c>
      <c r="I555" s="9" t="s">
        <v>10</v>
      </c>
      <c r="J555" s="9" t="s">
        <v>45</v>
      </c>
      <c r="K555"/>
      <c r="U555"/>
      <c r="V555"/>
    </row>
    <row r="556" spans="1:22" ht="18" hidden="1">
      <c r="A556" s="9">
        <f>IF(Table1[[#This Row],[کد کوپ]]&lt;1,0,A555+1)</f>
        <v>555</v>
      </c>
      <c r="B556" s="9">
        <v>4832</v>
      </c>
      <c r="C556" s="10">
        <v>45526</v>
      </c>
      <c r="D556" s="11">
        <v>20.3</v>
      </c>
      <c r="E556" s="12">
        <v>2.6</v>
      </c>
      <c r="F556" s="12">
        <v>1.9</v>
      </c>
      <c r="G556" s="12">
        <v>1.5</v>
      </c>
      <c r="H556" s="9" t="s">
        <v>9</v>
      </c>
      <c r="I556" s="9" t="s">
        <v>10</v>
      </c>
      <c r="J556" s="9" t="s">
        <v>45</v>
      </c>
      <c r="K556"/>
      <c r="U556"/>
      <c r="V556"/>
    </row>
    <row r="557" spans="1:22" ht="18" hidden="1">
      <c r="A557" s="9">
        <f>IF(Table1[[#This Row],[کد کوپ]]&lt;1,0,A556+1)</f>
        <v>556</v>
      </c>
      <c r="B557" s="9">
        <v>4833</v>
      </c>
      <c r="C557" s="10">
        <v>45526</v>
      </c>
      <c r="D557" s="11">
        <v>27</v>
      </c>
      <c r="E557" s="12">
        <v>2.82</v>
      </c>
      <c r="F557" s="12">
        <v>1.8</v>
      </c>
      <c r="G557" s="12">
        <v>1.8</v>
      </c>
      <c r="H557" s="9" t="s">
        <v>9</v>
      </c>
      <c r="I557" s="9" t="s">
        <v>10</v>
      </c>
      <c r="J557" s="9" t="s">
        <v>45</v>
      </c>
      <c r="K557"/>
      <c r="U557"/>
      <c r="V557"/>
    </row>
    <row r="558" spans="1:22" ht="18" hidden="1">
      <c r="A558" s="9">
        <f>IF(Table1[[#This Row],[کد کوپ]]&lt;1,0,A557+1)</f>
        <v>557</v>
      </c>
      <c r="B558" s="9">
        <v>4834</v>
      </c>
      <c r="C558" s="10">
        <v>45527</v>
      </c>
      <c r="D558" s="11">
        <v>18.75</v>
      </c>
      <c r="E558" s="12">
        <v>2.4</v>
      </c>
      <c r="F558" s="12">
        <v>1.77</v>
      </c>
      <c r="G558" s="12">
        <v>1.6</v>
      </c>
      <c r="H558" s="9" t="s">
        <v>9</v>
      </c>
      <c r="I558" s="9" t="s">
        <v>10</v>
      </c>
      <c r="J558" s="9" t="s">
        <v>11</v>
      </c>
      <c r="K558"/>
      <c r="U558"/>
      <c r="V558"/>
    </row>
    <row r="559" spans="1:22" ht="18" hidden="1">
      <c r="A559" s="9">
        <f>IF(Table1[[#This Row],[کد کوپ]]&lt;1,0,A558+1)</f>
        <v>558</v>
      </c>
      <c r="B559" s="9">
        <v>4835</v>
      </c>
      <c r="C559" s="10">
        <v>45527</v>
      </c>
      <c r="D559" s="11">
        <v>7.2</v>
      </c>
      <c r="E559" s="12">
        <v>1.7</v>
      </c>
      <c r="F559" s="12">
        <v>1.2</v>
      </c>
      <c r="G559" s="12">
        <v>1.25</v>
      </c>
      <c r="H559" s="9" t="s">
        <v>9</v>
      </c>
      <c r="I559" s="9" t="s">
        <v>10</v>
      </c>
      <c r="J559" s="9" t="s">
        <v>11</v>
      </c>
      <c r="K559"/>
      <c r="U559"/>
      <c r="V559"/>
    </row>
    <row r="560" spans="1:22" ht="18" hidden="1">
      <c r="A560" s="9">
        <f>IF(Table1[[#This Row],[کد کوپ]]&lt;1,0,A559+1)</f>
        <v>559</v>
      </c>
      <c r="B560" s="9">
        <v>4836</v>
      </c>
      <c r="C560" s="10">
        <v>45527</v>
      </c>
      <c r="D560" s="11">
        <v>13.05</v>
      </c>
      <c r="E560" s="12">
        <v>1.8</v>
      </c>
      <c r="F560" s="12">
        <v>1.66</v>
      </c>
      <c r="G560" s="12">
        <v>1.6</v>
      </c>
      <c r="H560" s="9" t="s">
        <v>9</v>
      </c>
      <c r="I560" s="9" t="s">
        <v>10</v>
      </c>
      <c r="J560" s="9" t="s">
        <v>11</v>
      </c>
      <c r="K560"/>
      <c r="U560"/>
      <c r="V560"/>
    </row>
    <row r="561" spans="1:22" ht="18" hidden="1">
      <c r="A561" s="9">
        <f>IF(Table1[[#This Row],[کد کوپ]]&lt;1,0,A560+1)</f>
        <v>560</v>
      </c>
      <c r="B561" s="9">
        <v>4837</v>
      </c>
      <c r="C561" s="10">
        <v>45527</v>
      </c>
      <c r="D561" s="11">
        <v>13.08</v>
      </c>
      <c r="E561" s="12">
        <v>1.8</v>
      </c>
      <c r="F561" s="12">
        <v>1.7</v>
      </c>
      <c r="G561" s="12">
        <v>1.6</v>
      </c>
      <c r="H561" s="9" t="s">
        <v>9</v>
      </c>
      <c r="I561" s="9" t="s">
        <v>10</v>
      </c>
      <c r="J561" s="9" t="s">
        <v>11</v>
      </c>
      <c r="K561"/>
      <c r="U561"/>
      <c r="V561"/>
    </row>
    <row r="562" spans="1:22" ht="18" hidden="1">
      <c r="A562" s="9">
        <f>IF(Table1[[#This Row],[کد کوپ]]&lt;1,0,A561+1)</f>
        <v>561</v>
      </c>
      <c r="B562" s="9">
        <v>4838</v>
      </c>
      <c r="C562" s="10">
        <v>45528</v>
      </c>
      <c r="D562" s="11">
        <v>25.4</v>
      </c>
      <c r="E562" s="12">
        <v>2.9</v>
      </c>
      <c r="F562" s="12">
        <v>1.84</v>
      </c>
      <c r="G562" s="12">
        <v>1.7</v>
      </c>
      <c r="H562" s="9" t="s">
        <v>9</v>
      </c>
      <c r="I562" s="9" t="s">
        <v>10</v>
      </c>
      <c r="J562" s="9" t="s">
        <v>11</v>
      </c>
      <c r="K562"/>
      <c r="U562"/>
      <c r="V562"/>
    </row>
    <row r="563" spans="1:22" ht="18">
      <c r="A563" s="9">
        <f>IF(Table1[[#This Row],[کد کوپ]]&lt;1,0,A562+1)</f>
        <v>562</v>
      </c>
      <c r="B563" s="9">
        <v>4839</v>
      </c>
      <c r="C563" s="10">
        <v>45528</v>
      </c>
      <c r="D563" s="11">
        <v>30.7</v>
      </c>
      <c r="E563" s="12">
        <v>2.8</v>
      </c>
      <c r="F563" s="12">
        <v>2</v>
      </c>
      <c r="G563" s="12">
        <v>1.9</v>
      </c>
      <c r="H563" s="9" t="s">
        <v>61</v>
      </c>
      <c r="I563" s="9" t="s">
        <v>27</v>
      </c>
      <c r="J563" s="9" t="s">
        <v>25</v>
      </c>
      <c r="K563"/>
      <c r="U563"/>
      <c r="V563"/>
    </row>
    <row r="564" spans="1:22" ht="18">
      <c r="A564" s="9">
        <f>IF(Table1[[#This Row],[کد کوپ]]&lt;1,0,A563+1)</f>
        <v>563</v>
      </c>
      <c r="B564" s="9">
        <v>4840</v>
      </c>
      <c r="C564" s="10">
        <v>45528</v>
      </c>
      <c r="D564" s="11">
        <v>26.5</v>
      </c>
      <c r="E564" s="12">
        <v>2.39</v>
      </c>
      <c r="F564" s="12">
        <v>2.04</v>
      </c>
      <c r="G564" s="12">
        <v>1.94</v>
      </c>
      <c r="H564" s="9" t="s">
        <v>61</v>
      </c>
      <c r="I564" s="9" t="s">
        <v>27</v>
      </c>
      <c r="J564" s="9" t="s">
        <v>25</v>
      </c>
      <c r="K564"/>
      <c r="U564"/>
      <c r="V564"/>
    </row>
    <row r="565" spans="1:22" ht="18">
      <c r="A565" s="9">
        <f>IF(Table1[[#This Row],[کد کوپ]]&lt;1,0,A564+1)</f>
        <v>564</v>
      </c>
      <c r="B565" s="9">
        <v>4841</v>
      </c>
      <c r="C565" s="10">
        <v>45528</v>
      </c>
      <c r="D565" s="11">
        <v>26.3</v>
      </c>
      <c r="E565" s="12">
        <v>3</v>
      </c>
      <c r="F565" s="12">
        <v>1.78</v>
      </c>
      <c r="G565" s="12">
        <v>1.78</v>
      </c>
      <c r="H565" s="9" t="s">
        <v>61</v>
      </c>
      <c r="I565" s="9" t="s">
        <v>27</v>
      </c>
      <c r="J565" s="9" t="s">
        <v>25</v>
      </c>
      <c r="K565"/>
      <c r="U565"/>
      <c r="V565"/>
    </row>
    <row r="566" spans="1:22" ht="18">
      <c r="A566" s="9">
        <f>IF(Table1[[#This Row],[کد کوپ]]&lt;1,0,A565+1)</f>
        <v>565</v>
      </c>
      <c r="B566" s="9">
        <v>4842</v>
      </c>
      <c r="C566" s="10">
        <v>45528</v>
      </c>
      <c r="D566" s="11">
        <v>24.4</v>
      </c>
      <c r="E566" s="12">
        <v>3.02</v>
      </c>
      <c r="F566" s="12">
        <v>1.75</v>
      </c>
      <c r="G566" s="12">
        <v>1.7</v>
      </c>
      <c r="H566" s="9" t="s">
        <v>61</v>
      </c>
      <c r="I566" s="9" t="s">
        <v>27</v>
      </c>
      <c r="J566" s="9" t="s">
        <v>25</v>
      </c>
      <c r="K566"/>
      <c r="U566"/>
      <c r="V566"/>
    </row>
    <row r="567" spans="1:22" ht="18">
      <c r="A567" s="9">
        <f>IF(Table1[[#This Row],[کد کوپ]]&lt;1,0,A566+1)</f>
        <v>566</v>
      </c>
      <c r="B567" s="9">
        <v>4843</v>
      </c>
      <c r="C567" s="10">
        <v>45528</v>
      </c>
      <c r="D567" s="11">
        <v>27.4</v>
      </c>
      <c r="E567" s="12">
        <v>2.9</v>
      </c>
      <c r="F567" s="12">
        <v>2.02</v>
      </c>
      <c r="G567" s="12">
        <v>2.02</v>
      </c>
      <c r="H567" s="9" t="s">
        <v>61</v>
      </c>
      <c r="I567" s="9" t="s">
        <v>27</v>
      </c>
      <c r="J567" s="9" t="s">
        <v>25</v>
      </c>
      <c r="K567"/>
      <c r="U567"/>
      <c r="V567"/>
    </row>
    <row r="568" spans="1:22" ht="18" hidden="1">
      <c r="A568" s="9">
        <f>IF(Table1[[#This Row],[کد کوپ]]&lt;1,0,A567+1)</f>
        <v>567</v>
      </c>
      <c r="B568" s="9">
        <v>4844</v>
      </c>
      <c r="C568" s="10">
        <v>45529</v>
      </c>
      <c r="D568" s="11">
        <v>19.670000000000002</v>
      </c>
      <c r="E568" s="12">
        <v>2.1</v>
      </c>
      <c r="F568" s="12">
        <v>1.85</v>
      </c>
      <c r="G568" s="12">
        <v>1.85</v>
      </c>
      <c r="H568" s="9" t="s">
        <v>9</v>
      </c>
      <c r="I568" s="9" t="s">
        <v>10</v>
      </c>
      <c r="J568" s="9" t="s">
        <v>11</v>
      </c>
      <c r="K568"/>
      <c r="U568"/>
      <c r="V568"/>
    </row>
    <row r="569" spans="1:22" ht="18">
      <c r="A569" s="9">
        <f>IF(Table1[[#This Row],[کد کوپ]]&lt;1,0,A568+1)</f>
        <v>568</v>
      </c>
      <c r="B569" s="9">
        <v>4845</v>
      </c>
      <c r="C569" s="10">
        <v>45530</v>
      </c>
      <c r="D569" s="11">
        <v>18.8</v>
      </c>
      <c r="E569" s="12">
        <v>2.3199999999999998</v>
      </c>
      <c r="F569" s="12">
        <v>2</v>
      </c>
      <c r="G569" s="12">
        <v>1.52</v>
      </c>
      <c r="H569" s="9" t="s">
        <v>61</v>
      </c>
      <c r="I569" s="9" t="s">
        <v>27</v>
      </c>
      <c r="J569" s="9" t="s">
        <v>25</v>
      </c>
      <c r="K569"/>
      <c r="U569"/>
      <c r="V569"/>
    </row>
    <row r="570" spans="1:22" ht="18">
      <c r="A570" s="9">
        <f>IF(Table1[[#This Row],[کد کوپ]]&lt;1,0,A569+1)</f>
        <v>569</v>
      </c>
      <c r="B570" s="9">
        <v>4846</v>
      </c>
      <c r="C570" s="10">
        <v>45530</v>
      </c>
      <c r="D570" s="11">
        <v>19.600000000000001</v>
      </c>
      <c r="E570" s="12">
        <v>3.1</v>
      </c>
      <c r="F570" s="12">
        <v>1.94</v>
      </c>
      <c r="G570" s="12">
        <v>1.2</v>
      </c>
      <c r="H570" s="9" t="s">
        <v>61</v>
      </c>
      <c r="I570" s="9" t="s">
        <v>27</v>
      </c>
      <c r="J570" s="9" t="s">
        <v>25</v>
      </c>
      <c r="K570"/>
      <c r="U570"/>
      <c r="V570"/>
    </row>
    <row r="571" spans="1:22" ht="18" hidden="1">
      <c r="A571" s="9">
        <f>IF(Table1[[#This Row],[کد کوپ]]&lt;1,0,A570+1)</f>
        <v>570</v>
      </c>
      <c r="B571" s="9">
        <v>4847</v>
      </c>
      <c r="C571" s="10">
        <v>45530</v>
      </c>
      <c r="D571" s="11">
        <v>15.35</v>
      </c>
      <c r="E571" s="12">
        <v>2.8</v>
      </c>
      <c r="F571" s="12">
        <v>1.4</v>
      </c>
      <c r="G571" s="12">
        <v>1.4</v>
      </c>
      <c r="H571" s="9" t="s">
        <v>9</v>
      </c>
      <c r="I571" s="9" t="s">
        <v>10</v>
      </c>
      <c r="J571" s="9" t="s">
        <v>11</v>
      </c>
      <c r="K571"/>
      <c r="U571"/>
      <c r="V571"/>
    </row>
    <row r="572" spans="1:22" ht="18" hidden="1">
      <c r="A572" s="9">
        <f>IF(Table1[[#This Row],[کد کوپ]]&lt;1,0,A571+1)</f>
        <v>571</v>
      </c>
      <c r="B572" s="9">
        <v>4848</v>
      </c>
      <c r="C572" s="10">
        <v>45530</v>
      </c>
      <c r="D572" s="11">
        <v>14.55</v>
      </c>
      <c r="E572" s="12">
        <v>2.98</v>
      </c>
      <c r="F572" s="12">
        <v>1.7</v>
      </c>
      <c r="G572" s="12">
        <v>1.03</v>
      </c>
      <c r="H572" s="9" t="s">
        <v>9</v>
      </c>
      <c r="I572" s="9" t="s">
        <v>10</v>
      </c>
      <c r="J572" s="9" t="s">
        <v>11</v>
      </c>
      <c r="K572"/>
      <c r="U572"/>
      <c r="V572"/>
    </row>
    <row r="573" spans="1:22" ht="18" hidden="1">
      <c r="A573" s="9">
        <f>IF(Table1[[#This Row],[کد کوپ]]&lt;1,0,A572+1)</f>
        <v>572</v>
      </c>
      <c r="B573" s="9">
        <v>4849</v>
      </c>
      <c r="C573" s="10">
        <v>45531</v>
      </c>
      <c r="D573" s="11">
        <v>17.7</v>
      </c>
      <c r="E573" s="12">
        <v>2.13</v>
      </c>
      <c r="F573" s="12">
        <v>1.96</v>
      </c>
      <c r="G573" s="12">
        <v>1.45</v>
      </c>
      <c r="H573" s="9" t="s">
        <v>9</v>
      </c>
      <c r="I573" s="9" t="s">
        <v>10</v>
      </c>
      <c r="J573" s="9" t="s">
        <v>11</v>
      </c>
      <c r="K573"/>
      <c r="U573"/>
      <c r="V573"/>
    </row>
    <row r="574" spans="1:22" ht="18" hidden="1">
      <c r="A574" s="9">
        <f>IF(Table1[[#This Row],[کد کوپ]]&lt;1,0,A573+1)</f>
        <v>573</v>
      </c>
      <c r="B574" s="9">
        <v>4850</v>
      </c>
      <c r="C574" s="10">
        <v>45531</v>
      </c>
      <c r="D574" s="11">
        <v>19.079999999999998</v>
      </c>
      <c r="E574" s="12">
        <v>2.9</v>
      </c>
      <c r="F574" s="12">
        <v>1.8</v>
      </c>
      <c r="G574" s="12">
        <v>1.35</v>
      </c>
      <c r="H574" s="9" t="s">
        <v>9</v>
      </c>
      <c r="I574" s="9" t="s">
        <v>10</v>
      </c>
      <c r="J574" s="9" t="s">
        <v>11</v>
      </c>
      <c r="K574"/>
      <c r="U574"/>
      <c r="V574"/>
    </row>
    <row r="575" spans="1:22" ht="18" hidden="1">
      <c r="A575" s="9">
        <f>IF(Table1[[#This Row],[کد کوپ]]&lt;1,0,A574+1)</f>
        <v>574</v>
      </c>
      <c r="B575" s="9">
        <v>4851</v>
      </c>
      <c r="C575" s="10">
        <v>45533</v>
      </c>
      <c r="D575" s="11">
        <v>24.6</v>
      </c>
      <c r="E575" s="12">
        <v>3.07</v>
      </c>
      <c r="F575" s="12">
        <v>1.85</v>
      </c>
      <c r="G575" s="12">
        <v>1.7</v>
      </c>
      <c r="H575" s="9" t="s">
        <v>23</v>
      </c>
      <c r="I575" s="9" t="s">
        <v>34</v>
      </c>
      <c r="J575" s="9" t="s">
        <v>64</v>
      </c>
      <c r="K575"/>
      <c r="U575"/>
      <c r="V575"/>
    </row>
    <row r="576" spans="1:22" ht="18" hidden="1">
      <c r="A576" s="9">
        <f>IF(Table1[[#This Row],[کد کوپ]]&lt;1,0,A575+1)</f>
        <v>575</v>
      </c>
      <c r="B576" s="9">
        <v>4852</v>
      </c>
      <c r="C576" s="10">
        <v>45545</v>
      </c>
      <c r="D576" s="11">
        <v>18.8</v>
      </c>
      <c r="E576" s="12">
        <v>2.75</v>
      </c>
      <c r="F576" s="12">
        <v>1.8</v>
      </c>
      <c r="G576" s="12">
        <v>1.35</v>
      </c>
      <c r="H576" s="9" t="s">
        <v>9</v>
      </c>
      <c r="I576" s="9" t="s">
        <v>10</v>
      </c>
      <c r="J576" s="9" t="s">
        <v>11</v>
      </c>
      <c r="K576"/>
      <c r="U576"/>
      <c r="V576"/>
    </row>
    <row r="577" spans="1:22" ht="18">
      <c r="A577" s="9">
        <f>IF(Table1[[#This Row],[کد کوپ]]&lt;1,0,A576+1)</f>
        <v>576</v>
      </c>
      <c r="B577" s="9">
        <v>4853</v>
      </c>
      <c r="C577" s="10">
        <v>45550</v>
      </c>
      <c r="D577" s="11">
        <v>26.395</v>
      </c>
      <c r="E577" s="12">
        <v>2.8</v>
      </c>
      <c r="F577" s="12">
        <v>2</v>
      </c>
      <c r="G577" s="12">
        <v>1.88</v>
      </c>
      <c r="H577" s="9" t="s">
        <v>9</v>
      </c>
      <c r="I577" s="9" t="s">
        <v>27</v>
      </c>
      <c r="J577" s="9" t="s">
        <v>65</v>
      </c>
      <c r="K577"/>
      <c r="U577"/>
      <c r="V577"/>
    </row>
    <row r="578" spans="1:22" ht="18">
      <c r="A578" s="9">
        <f>IF(Table1[[#This Row],[کد کوپ]]&lt;1,0,A577+1)</f>
        <v>577</v>
      </c>
      <c r="B578" s="9">
        <v>4854</v>
      </c>
      <c r="C578" s="10">
        <v>45550</v>
      </c>
      <c r="D578" s="11">
        <v>18.55</v>
      </c>
      <c r="E578" s="12">
        <v>2.2999999999999998</v>
      </c>
      <c r="F578" s="12">
        <v>1.8</v>
      </c>
      <c r="G578" s="12">
        <v>1.65</v>
      </c>
      <c r="H578" s="9" t="s">
        <v>9</v>
      </c>
      <c r="I578" s="9" t="s">
        <v>27</v>
      </c>
      <c r="J578" s="9" t="s">
        <v>65</v>
      </c>
      <c r="K578"/>
      <c r="U578"/>
      <c r="V578"/>
    </row>
    <row r="579" spans="1:22" ht="18" hidden="1">
      <c r="A579" s="9">
        <f>IF(Table1[[#This Row],[کد کوپ]]&lt;1,0,A578+1)</f>
        <v>578</v>
      </c>
      <c r="B579" s="9">
        <v>4855</v>
      </c>
      <c r="C579" s="10">
        <v>45557</v>
      </c>
      <c r="D579" s="11">
        <v>19.45</v>
      </c>
      <c r="E579" s="12">
        <v>2.6</v>
      </c>
      <c r="F579" s="12">
        <v>1.75</v>
      </c>
      <c r="G579" s="12">
        <v>1.65</v>
      </c>
      <c r="H579" s="9" t="s">
        <v>66</v>
      </c>
      <c r="I579" s="9" t="s">
        <v>10</v>
      </c>
      <c r="J579" s="9" t="s">
        <v>45</v>
      </c>
      <c r="K579"/>
      <c r="U579"/>
      <c r="V579"/>
    </row>
    <row r="580" spans="1:22" ht="18" hidden="1">
      <c r="A580" s="9">
        <f>IF(Table1[[#This Row],[کد کوپ]]&lt;1,0,A579+1)</f>
        <v>579</v>
      </c>
      <c r="B580" s="9">
        <v>4856</v>
      </c>
      <c r="C580" s="10">
        <v>45557</v>
      </c>
      <c r="D580" s="11">
        <v>20.75</v>
      </c>
      <c r="E580" s="12">
        <v>2.95</v>
      </c>
      <c r="F580" s="12">
        <v>1.75</v>
      </c>
      <c r="G580" s="12">
        <v>1.5</v>
      </c>
      <c r="H580" s="9" t="s">
        <v>66</v>
      </c>
      <c r="I580" s="9" t="s">
        <v>10</v>
      </c>
      <c r="J580" s="9" t="s">
        <v>45</v>
      </c>
      <c r="K580"/>
      <c r="U580"/>
      <c r="V580"/>
    </row>
    <row r="581" spans="1:22" ht="18" hidden="1">
      <c r="A581" s="9">
        <f>IF(Table1[[#This Row],[کد کوپ]]&lt;1,0,A580+1)</f>
        <v>580</v>
      </c>
      <c r="B581" s="9">
        <v>4857</v>
      </c>
      <c r="C581" s="10">
        <v>45561</v>
      </c>
      <c r="D581" s="11">
        <v>2.1</v>
      </c>
      <c r="E581" s="12">
        <v>1.8</v>
      </c>
      <c r="F581" s="12">
        <v>1.2</v>
      </c>
      <c r="G581" s="12">
        <v>0.35</v>
      </c>
      <c r="H581" s="9" t="s">
        <v>23</v>
      </c>
      <c r="I581" s="9" t="s">
        <v>24</v>
      </c>
      <c r="J581" s="9" t="s">
        <v>25</v>
      </c>
      <c r="K581"/>
      <c r="U581"/>
      <c r="V581"/>
    </row>
    <row r="582" spans="1:22" ht="18" hidden="1">
      <c r="A582" s="9">
        <f>IF(Table1[[#This Row],[کد کوپ]]&lt;1,0,A581+1)</f>
        <v>581</v>
      </c>
      <c r="B582" s="9">
        <v>4858</v>
      </c>
      <c r="C582" s="10">
        <v>45561</v>
      </c>
      <c r="D582" s="11">
        <v>3.75</v>
      </c>
      <c r="E582" s="12">
        <v>2.2999999999999998</v>
      </c>
      <c r="F582" s="12">
        <v>1.55</v>
      </c>
      <c r="G582" s="12">
        <v>0.4</v>
      </c>
      <c r="H582" s="9" t="s">
        <v>23</v>
      </c>
      <c r="I582" s="9" t="s">
        <v>24</v>
      </c>
      <c r="J582" s="9" t="s">
        <v>25</v>
      </c>
      <c r="K582"/>
      <c r="U582"/>
      <c r="V582"/>
    </row>
    <row r="583" spans="1:22" ht="18" hidden="1">
      <c r="A583" s="9">
        <f>IF(Table1[[#This Row],[کد کوپ]]&lt;1,0,A582+1)</f>
        <v>582</v>
      </c>
      <c r="B583" s="9">
        <v>4859</v>
      </c>
      <c r="C583" s="10">
        <v>45561</v>
      </c>
      <c r="D583" s="11">
        <v>3.4</v>
      </c>
      <c r="E583" s="12">
        <v>3</v>
      </c>
      <c r="F583" s="12">
        <v>1.1399999999999999</v>
      </c>
      <c r="G583" s="12">
        <v>0.4</v>
      </c>
      <c r="H583" s="9" t="s">
        <v>23</v>
      </c>
      <c r="I583" s="9" t="s">
        <v>24</v>
      </c>
      <c r="J583" s="9" t="s">
        <v>25</v>
      </c>
      <c r="K583"/>
      <c r="U583"/>
      <c r="V583"/>
    </row>
    <row r="584" spans="1:22" ht="18" hidden="1">
      <c r="A584" s="9">
        <f>IF(Table1[[#This Row],[کد کوپ]]&lt;1,0,A583+1)</f>
        <v>583</v>
      </c>
      <c r="B584" s="9">
        <v>4860</v>
      </c>
      <c r="C584" s="10">
        <v>45561</v>
      </c>
      <c r="D584" s="11">
        <v>4.5999999999999996</v>
      </c>
      <c r="E584" s="12">
        <v>2.15</v>
      </c>
      <c r="F584" s="12">
        <v>1.75</v>
      </c>
      <c r="G584" s="12">
        <v>0.4</v>
      </c>
      <c r="H584" s="9" t="s">
        <v>23</v>
      </c>
      <c r="I584" s="9" t="s">
        <v>24</v>
      </c>
      <c r="J584" s="9" t="s">
        <v>25</v>
      </c>
      <c r="K584"/>
      <c r="U584"/>
      <c r="V584"/>
    </row>
    <row r="585" spans="1:22" ht="18" hidden="1">
      <c r="A585" s="9">
        <f>IF(Table1[[#This Row],[کد کوپ]]&lt;1,0,A584+1)</f>
        <v>584</v>
      </c>
      <c r="B585" s="9">
        <v>4861</v>
      </c>
      <c r="C585" s="10">
        <v>45561</v>
      </c>
      <c r="D585" s="11">
        <v>1.75</v>
      </c>
      <c r="E585" s="12">
        <v>1.55</v>
      </c>
      <c r="F585" s="12">
        <v>1.05</v>
      </c>
      <c r="G585" s="12">
        <v>0.32</v>
      </c>
      <c r="H585" s="9" t="s">
        <v>23</v>
      </c>
      <c r="I585" s="9" t="s">
        <v>24</v>
      </c>
      <c r="J585" s="9" t="s">
        <v>25</v>
      </c>
      <c r="K585"/>
      <c r="U585"/>
      <c r="V585"/>
    </row>
    <row r="586" spans="1:22" ht="18" hidden="1">
      <c r="A586" s="9">
        <f>IF(Table1[[#This Row],[کد کوپ]]&lt;1,0,A585+1)</f>
        <v>585</v>
      </c>
      <c r="B586" s="9">
        <v>4862</v>
      </c>
      <c r="C586" s="10">
        <v>45561</v>
      </c>
      <c r="D586" s="11">
        <v>1.8</v>
      </c>
      <c r="E586" s="12">
        <v>1.7</v>
      </c>
      <c r="F586" s="12">
        <v>1.3</v>
      </c>
      <c r="G586" s="12">
        <v>0.32</v>
      </c>
      <c r="H586" s="9" t="s">
        <v>23</v>
      </c>
      <c r="I586" s="9" t="s">
        <v>24</v>
      </c>
      <c r="J586" s="9" t="s">
        <v>25</v>
      </c>
      <c r="K586"/>
      <c r="U586"/>
      <c r="V586"/>
    </row>
    <row r="587" spans="1:22" ht="18" hidden="1">
      <c r="A587" s="9">
        <f>IF(Table1[[#This Row],[کد کوپ]]&lt;1,0,A586+1)</f>
        <v>586</v>
      </c>
      <c r="B587" s="9">
        <v>4863</v>
      </c>
      <c r="C587" s="10">
        <v>45564</v>
      </c>
      <c r="D587" s="11">
        <v>21.6</v>
      </c>
      <c r="E587" s="12">
        <v>2.9</v>
      </c>
      <c r="F587" s="12">
        <v>1.7</v>
      </c>
      <c r="G587" s="12">
        <v>1.65</v>
      </c>
      <c r="H587" s="9" t="s">
        <v>23</v>
      </c>
      <c r="I587" s="9" t="s">
        <v>10</v>
      </c>
      <c r="J587" s="9" t="s">
        <v>45</v>
      </c>
      <c r="K587"/>
      <c r="U587"/>
      <c r="V587"/>
    </row>
    <row r="588" spans="1:22" ht="18" hidden="1">
      <c r="A588" s="9">
        <f>IF(Table1[[#This Row],[کد کوپ]]&lt;1,0,A587+1)</f>
        <v>587</v>
      </c>
      <c r="B588" s="9">
        <v>4864</v>
      </c>
      <c r="C588" s="10">
        <v>45565</v>
      </c>
      <c r="D588" s="11">
        <v>21.86</v>
      </c>
      <c r="E588" s="12">
        <v>2.4</v>
      </c>
      <c r="F588" s="12">
        <v>1.8</v>
      </c>
      <c r="G588" s="12">
        <v>1.75</v>
      </c>
      <c r="H588" s="9" t="s">
        <v>59</v>
      </c>
      <c r="I588" s="9" t="s">
        <v>10</v>
      </c>
      <c r="J588" s="9" t="s">
        <v>60</v>
      </c>
      <c r="K588"/>
      <c r="U588"/>
      <c r="V588"/>
    </row>
    <row r="589" spans="1:22" ht="18" hidden="1">
      <c r="A589" s="9">
        <f>IF(Table1[[#This Row],[کد کوپ]]&lt;1,0,A588+1)</f>
        <v>588</v>
      </c>
      <c r="B589" s="9">
        <v>4865</v>
      </c>
      <c r="C589" s="10">
        <v>45565</v>
      </c>
      <c r="D589" s="11">
        <v>26.32</v>
      </c>
      <c r="E589" s="12">
        <v>3</v>
      </c>
      <c r="F589" s="12">
        <v>2</v>
      </c>
      <c r="G589" s="12">
        <v>1.62</v>
      </c>
      <c r="H589" s="9" t="s">
        <v>59</v>
      </c>
      <c r="I589" s="9" t="s">
        <v>10</v>
      </c>
      <c r="J589" s="9" t="s">
        <v>60</v>
      </c>
      <c r="K589"/>
      <c r="U589"/>
      <c r="V589"/>
    </row>
    <row r="590" spans="1:22" ht="18" hidden="1">
      <c r="A590" s="9">
        <f>IF(Table1[[#This Row],[کد کوپ]]&lt;1,0,A589+1)</f>
        <v>589</v>
      </c>
      <c r="B590" s="9">
        <v>4866</v>
      </c>
      <c r="C590" s="10">
        <v>45565</v>
      </c>
      <c r="D590" s="11">
        <v>21.85</v>
      </c>
      <c r="E590" s="12">
        <v>2.85</v>
      </c>
      <c r="F590" s="12">
        <v>1.74</v>
      </c>
      <c r="G590" s="12">
        <v>1.7</v>
      </c>
      <c r="H590" s="9" t="s">
        <v>59</v>
      </c>
      <c r="I590" s="9" t="s">
        <v>10</v>
      </c>
      <c r="J590" s="9" t="s">
        <v>60</v>
      </c>
      <c r="K590"/>
      <c r="U590"/>
      <c r="V590"/>
    </row>
    <row r="591" spans="1:22" ht="18" hidden="1">
      <c r="A591" s="9">
        <f>IF(Table1[[#This Row],[کد کوپ]]&lt;1,0,A590+1)</f>
        <v>590</v>
      </c>
      <c r="B591" s="9">
        <v>4867</v>
      </c>
      <c r="C591" s="10">
        <v>45566</v>
      </c>
      <c r="D591" s="11">
        <v>14.76</v>
      </c>
      <c r="E591" s="12">
        <v>2.98</v>
      </c>
      <c r="F591" s="12">
        <v>2.0299999999999998</v>
      </c>
      <c r="G591" s="12">
        <v>0.85</v>
      </c>
      <c r="H591" s="9" t="s">
        <v>59</v>
      </c>
      <c r="I591" s="9" t="s">
        <v>10</v>
      </c>
      <c r="J591" s="9" t="s">
        <v>22</v>
      </c>
      <c r="K591"/>
      <c r="U591"/>
      <c r="V591"/>
    </row>
    <row r="592" spans="1:22" ht="18">
      <c r="A592" s="9">
        <f>IF(Table1[[#This Row],[کد کوپ]]&lt;1,0,A591+1)</f>
        <v>591</v>
      </c>
      <c r="B592" s="9">
        <v>4868</v>
      </c>
      <c r="C592" s="10">
        <v>45567</v>
      </c>
      <c r="D592" s="11">
        <v>15.25</v>
      </c>
      <c r="E592" s="12">
        <v>2.25</v>
      </c>
      <c r="F592" s="12">
        <v>1.75</v>
      </c>
      <c r="G592" s="12">
        <v>1.45</v>
      </c>
      <c r="H592" s="9" t="s">
        <v>9</v>
      </c>
      <c r="I592" s="9" t="s">
        <v>27</v>
      </c>
      <c r="J592" s="9" t="s">
        <v>65</v>
      </c>
      <c r="K592"/>
      <c r="U592"/>
      <c r="V592"/>
    </row>
    <row r="593" spans="1:22" ht="18">
      <c r="A593" s="9">
        <f>IF(Table1[[#This Row],[کد کوپ]]&lt;1,0,A592+1)</f>
        <v>592</v>
      </c>
      <c r="B593" s="9">
        <v>4869</v>
      </c>
      <c r="C593" s="10">
        <v>45567</v>
      </c>
      <c r="D593" s="11">
        <v>19.89</v>
      </c>
      <c r="E593" s="12">
        <v>2.25</v>
      </c>
      <c r="F593" s="12">
        <v>2.0699999999999998</v>
      </c>
      <c r="G593" s="12">
        <v>1.6</v>
      </c>
      <c r="H593" s="9" t="s">
        <v>9</v>
      </c>
      <c r="I593" s="9" t="s">
        <v>27</v>
      </c>
      <c r="J593" s="9" t="s">
        <v>65</v>
      </c>
      <c r="K593"/>
      <c r="U593"/>
      <c r="V593"/>
    </row>
    <row r="594" spans="1:22" ht="18" hidden="1">
      <c r="A594" s="9">
        <f>IF(Table1[[#This Row],[کد کوپ]]&lt;1,0,A593+1)</f>
        <v>593</v>
      </c>
      <c r="B594" s="9">
        <v>4870</v>
      </c>
      <c r="C594" s="10">
        <v>45568</v>
      </c>
      <c r="D594" s="11">
        <v>24.9</v>
      </c>
      <c r="E594" s="12">
        <v>2.86</v>
      </c>
      <c r="F594" s="12">
        <v>1.7</v>
      </c>
      <c r="G594" s="12">
        <v>1.8</v>
      </c>
      <c r="H594" s="9" t="s">
        <v>67</v>
      </c>
      <c r="I594" s="9" t="s">
        <v>10</v>
      </c>
      <c r="J594" s="9" t="s">
        <v>68</v>
      </c>
      <c r="K594"/>
      <c r="U594"/>
      <c r="V594"/>
    </row>
    <row r="595" spans="1:22" ht="18">
      <c r="A595" s="9">
        <f>IF(Table1[[#This Row],[کد کوپ]]&lt;1,0,A594+1)</f>
        <v>594</v>
      </c>
      <c r="B595" s="9">
        <v>4871</v>
      </c>
      <c r="C595" s="10">
        <v>45570</v>
      </c>
      <c r="D595" s="11">
        <v>23.1</v>
      </c>
      <c r="E595" s="12">
        <v>3</v>
      </c>
      <c r="F595" s="12">
        <v>2</v>
      </c>
      <c r="G595" s="12">
        <v>1.4</v>
      </c>
      <c r="H595" s="9" t="s">
        <v>69</v>
      </c>
      <c r="I595" s="9" t="s">
        <v>27</v>
      </c>
      <c r="J595" s="9" t="s">
        <v>70</v>
      </c>
      <c r="K595"/>
      <c r="U595"/>
      <c r="V595"/>
    </row>
    <row r="596" spans="1:22" ht="18" hidden="1">
      <c r="A596" s="9">
        <f>IF(Table1[[#This Row],[کد کوپ]]&lt;1,0,A595+1)</f>
        <v>595</v>
      </c>
      <c r="B596" s="9">
        <v>4872</v>
      </c>
      <c r="C596" s="10">
        <v>45572</v>
      </c>
      <c r="D596" s="11">
        <v>18.5</v>
      </c>
      <c r="E596" s="12">
        <v>2.1</v>
      </c>
      <c r="F596" s="12">
        <v>1.9</v>
      </c>
      <c r="G596" s="12">
        <v>1.7</v>
      </c>
      <c r="H596" s="9" t="s">
        <v>67</v>
      </c>
      <c r="I596" s="9" t="s">
        <v>10</v>
      </c>
      <c r="J596" s="9" t="s">
        <v>68</v>
      </c>
      <c r="K596"/>
      <c r="U596"/>
      <c r="V596"/>
    </row>
    <row r="597" spans="1:22" ht="18" hidden="1">
      <c r="A597" s="9">
        <f>IF(Table1[[#This Row],[کد کوپ]]&lt;1,0,A596+1)</f>
        <v>596</v>
      </c>
      <c r="B597" s="9">
        <v>4873</v>
      </c>
      <c r="C597" s="10">
        <v>45578</v>
      </c>
      <c r="D597" s="11">
        <v>26.6</v>
      </c>
      <c r="E597" s="12">
        <v>3.07</v>
      </c>
      <c r="F597" s="12">
        <v>2.02</v>
      </c>
      <c r="G597" s="12">
        <v>1.62</v>
      </c>
      <c r="H597" s="9" t="s">
        <v>59</v>
      </c>
      <c r="I597" s="9" t="s">
        <v>10</v>
      </c>
      <c r="J597" s="9" t="s">
        <v>60</v>
      </c>
      <c r="K597"/>
      <c r="U597"/>
      <c r="V597"/>
    </row>
    <row r="598" spans="1:22" ht="18" hidden="1">
      <c r="A598" s="9">
        <f>IF(Table1[[#This Row],[کد کوپ]]&lt;1,0,A597+1)</f>
        <v>597</v>
      </c>
      <c r="B598" s="9">
        <v>4874</v>
      </c>
      <c r="C598" s="10">
        <v>45579</v>
      </c>
      <c r="D598" s="11">
        <v>5.8</v>
      </c>
      <c r="E598" s="12">
        <v>3</v>
      </c>
      <c r="F598" s="12">
        <v>2.0499999999999998</v>
      </c>
      <c r="G598" s="12">
        <v>0.3</v>
      </c>
      <c r="H598" s="9" t="s">
        <v>23</v>
      </c>
      <c r="I598" s="9" t="s">
        <v>24</v>
      </c>
      <c r="J598" s="9" t="s">
        <v>25</v>
      </c>
      <c r="K598"/>
      <c r="U598"/>
      <c r="V598"/>
    </row>
    <row r="599" spans="1:22" ht="18" hidden="1">
      <c r="A599" s="9">
        <f>IF(Table1[[#This Row],[کد کوپ]]&lt;1,0,A598+1)</f>
        <v>598</v>
      </c>
      <c r="B599" s="9">
        <v>4875</v>
      </c>
      <c r="C599" s="10">
        <v>45579</v>
      </c>
      <c r="D599" s="11">
        <v>6.2</v>
      </c>
      <c r="E599" s="12">
        <v>3</v>
      </c>
      <c r="F599" s="12">
        <v>2.15</v>
      </c>
      <c r="G599" s="12">
        <v>0.35</v>
      </c>
      <c r="H599" s="9" t="s">
        <v>23</v>
      </c>
      <c r="I599" s="9" t="s">
        <v>24</v>
      </c>
      <c r="J599" s="9" t="s">
        <v>25</v>
      </c>
      <c r="K599"/>
      <c r="U599"/>
      <c r="V599"/>
    </row>
    <row r="600" spans="1:22" ht="18" hidden="1">
      <c r="A600" s="9">
        <f>IF(Table1[[#This Row],[کد کوپ]]&lt;1,0,A599+1)</f>
        <v>599</v>
      </c>
      <c r="B600" s="9">
        <v>4876</v>
      </c>
      <c r="C600" s="10">
        <v>45579</v>
      </c>
      <c r="D600" s="11">
        <v>5.4</v>
      </c>
      <c r="E600" s="12">
        <v>2.7</v>
      </c>
      <c r="F600" s="12">
        <v>2.02</v>
      </c>
      <c r="G600" s="12">
        <v>0.35</v>
      </c>
      <c r="H600" s="9" t="s">
        <v>23</v>
      </c>
      <c r="I600" s="9" t="s">
        <v>24</v>
      </c>
      <c r="J600" s="9" t="s">
        <v>25</v>
      </c>
      <c r="K600"/>
      <c r="U600"/>
      <c r="V600"/>
    </row>
    <row r="601" spans="1:22" ht="18">
      <c r="A601" s="9">
        <f>IF(Table1[[#This Row],[کد کوپ]]&lt;1,0,A600+1)</f>
        <v>600</v>
      </c>
      <c r="B601" s="9">
        <v>4877</v>
      </c>
      <c r="C601" s="10">
        <v>45579</v>
      </c>
      <c r="D601" s="11">
        <v>23.4</v>
      </c>
      <c r="E601" s="12">
        <v>3.07</v>
      </c>
      <c r="F601" s="12">
        <v>1.95</v>
      </c>
      <c r="G601" s="12">
        <v>1.47</v>
      </c>
      <c r="H601" s="9" t="s">
        <v>9</v>
      </c>
      <c r="I601" s="9" t="s">
        <v>27</v>
      </c>
      <c r="J601" s="9" t="s">
        <v>65</v>
      </c>
      <c r="K601"/>
      <c r="U601"/>
      <c r="V601"/>
    </row>
    <row r="602" spans="1:22" ht="18">
      <c r="A602" s="9">
        <f>IF(Table1[[#This Row],[کد کوپ]]&lt;1,0,A601+1)</f>
        <v>601</v>
      </c>
      <c r="B602" s="9">
        <v>4878</v>
      </c>
      <c r="C602" s="10">
        <v>45579</v>
      </c>
      <c r="D602" s="11">
        <v>27.875</v>
      </c>
      <c r="E602" s="12">
        <v>3</v>
      </c>
      <c r="F602" s="12">
        <v>2</v>
      </c>
      <c r="G602" s="12">
        <v>1.75</v>
      </c>
      <c r="H602" s="9" t="s">
        <v>9</v>
      </c>
      <c r="I602" s="9" t="s">
        <v>27</v>
      </c>
      <c r="J602" s="9" t="s">
        <v>65</v>
      </c>
      <c r="K602"/>
      <c r="U602"/>
      <c r="V602"/>
    </row>
    <row r="603" spans="1:22" ht="18">
      <c r="A603" s="9">
        <f>IF(Table1[[#This Row],[کد کوپ]]&lt;1,0,A602+1)</f>
        <v>602</v>
      </c>
      <c r="B603" s="9">
        <v>4879</v>
      </c>
      <c r="C603" s="10">
        <v>45579</v>
      </c>
      <c r="D603" s="11">
        <v>19.86</v>
      </c>
      <c r="E603" s="12">
        <v>2.7</v>
      </c>
      <c r="F603" s="12">
        <v>1.77</v>
      </c>
      <c r="G603" s="12">
        <v>1.6</v>
      </c>
      <c r="H603" s="9" t="s">
        <v>9</v>
      </c>
      <c r="I603" s="9" t="s">
        <v>27</v>
      </c>
      <c r="J603" s="9" t="s">
        <v>65</v>
      </c>
      <c r="K603"/>
      <c r="U603"/>
      <c r="V603"/>
    </row>
    <row r="604" spans="1:22" ht="18">
      <c r="A604" s="9">
        <f>IF(Table1[[#This Row],[کد کوپ]]&lt;1,0,A603+1)</f>
        <v>603</v>
      </c>
      <c r="B604" s="9">
        <v>4880</v>
      </c>
      <c r="C604" s="10">
        <v>45579</v>
      </c>
      <c r="D604" s="11">
        <v>17.175000000000001</v>
      </c>
      <c r="E604" s="12">
        <v>3</v>
      </c>
      <c r="F604" s="12">
        <v>1.3</v>
      </c>
      <c r="G604" s="12">
        <v>1.23</v>
      </c>
      <c r="H604" s="9" t="s">
        <v>9</v>
      </c>
      <c r="I604" s="9" t="s">
        <v>27</v>
      </c>
      <c r="J604" s="9" t="s">
        <v>65</v>
      </c>
      <c r="K604"/>
      <c r="U604"/>
      <c r="V604"/>
    </row>
    <row r="605" spans="1:22" ht="18">
      <c r="A605" s="9">
        <f>IF(Table1[[#This Row],[کد کوپ]]&lt;1,0,A604+1)</f>
        <v>604</v>
      </c>
      <c r="B605" s="9">
        <v>4881</v>
      </c>
      <c r="C605" s="10">
        <v>45579</v>
      </c>
      <c r="D605" s="11">
        <v>16.260000000000002</v>
      </c>
      <c r="E605" s="12">
        <v>3.3</v>
      </c>
      <c r="F605" s="12">
        <v>1.67</v>
      </c>
      <c r="G605" s="12">
        <v>1.1200000000000001</v>
      </c>
      <c r="H605" s="9" t="s">
        <v>9</v>
      </c>
      <c r="I605" s="9" t="s">
        <v>27</v>
      </c>
      <c r="J605" s="9" t="s">
        <v>65</v>
      </c>
      <c r="K605"/>
      <c r="U605"/>
      <c r="V605"/>
    </row>
    <row r="606" spans="1:22" ht="18">
      <c r="A606" s="9">
        <f>IF(Table1[[#This Row],[کد کوپ]]&lt;1,0,A605+1)</f>
        <v>605</v>
      </c>
      <c r="B606" s="9">
        <v>4882</v>
      </c>
      <c r="C606" s="10">
        <v>45579</v>
      </c>
      <c r="D606" s="11">
        <v>27</v>
      </c>
      <c r="E606" s="12">
        <v>2.95</v>
      </c>
      <c r="F606" s="12">
        <v>1.5</v>
      </c>
      <c r="G606" s="12">
        <v>2</v>
      </c>
      <c r="H606" s="9" t="s">
        <v>9</v>
      </c>
      <c r="I606" s="9" t="s">
        <v>27</v>
      </c>
      <c r="J606" s="9" t="s">
        <v>65</v>
      </c>
      <c r="K606"/>
      <c r="U606"/>
      <c r="V606"/>
    </row>
    <row r="607" spans="1:22" ht="18">
      <c r="A607" s="9">
        <f>IF(Table1[[#This Row],[کد کوپ]]&lt;1,0,A606+1)</f>
        <v>606</v>
      </c>
      <c r="B607" s="9">
        <v>4883</v>
      </c>
      <c r="C607" s="10">
        <v>45579</v>
      </c>
      <c r="D607" s="11">
        <v>21</v>
      </c>
      <c r="E607" s="12">
        <v>2.8</v>
      </c>
      <c r="F607" s="12">
        <v>1.5</v>
      </c>
      <c r="G607" s="12">
        <v>1.95</v>
      </c>
      <c r="H607" s="9" t="s">
        <v>9</v>
      </c>
      <c r="I607" s="9" t="s">
        <v>27</v>
      </c>
      <c r="J607" s="9" t="s">
        <v>65</v>
      </c>
      <c r="K607"/>
      <c r="U607"/>
      <c r="V607"/>
    </row>
    <row r="608" spans="1:22" ht="18">
      <c r="A608" s="9">
        <f>IF(Table1[[#This Row],[کد کوپ]]&lt;1,0,A607+1)</f>
        <v>607</v>
      </c>
      <c r="B608" s="9">
        <v>4884</v>
      </c>
      <c r="C608" s="10">
        <v>45580</v>
      </c>
      <c r="D608" s="11">
        <v>24.8</v>
      </c>
      <c r="E608" s="12">
        <v>2.35</v>
      </c>
      <c r="F608" s="12">
        <v>2.1</v>
      </c>
      <c r="G608" s="12">
        <v>1.95</v>
      </c>
      <c r="H608" s="9" t="s">
        <v>9</v>
      </c>
      <c r="I608" s="9" t="s">
        <v>27</v>
      </c>
      <c r="J608" s="9" t="s">
        <v>65</v>
      </c>
      <c r="K608"/>
      <c r="U608"/>
      <c r="V608"/>
    </row>
    <row r="609" spans="1:22" ht="18">
      <c r="A609" s="9">
        <f>IF(Table1[[#This Row],[کد کوپ]]&lt;1,0,A608+1)</f>
        <v>608</v>
      </c>
      <c r="B609" s="9">
        <v>4885</v>
      </c>
      <c r="C609" s="10">
        <v>45580</v>
      </c>
      <c r="D609" s="11">
        <v>32.86</v>
      </c>
      <c r="E609" s="12">
        <v>3</v>
      </c>
      <c r="F609" s="12">
        <v>2.0499999999999998</v>
      </c>
      <c r="G609" s="12">
        <v>2</v>
      </c>
      <c r="H609" s="9" t="s">
        <v>9</v>
      </c>
      <c r="I609" s="9" t="s">
        <v>27</v>
      </c>
      <c r="J609" s="9" t="s">
        <v>65</v>
      </c>
      <c r="K609"/>
      <c r="U609"/>
      <c r="V609"/>
    </row>
    <row r="610" spans="1:22" ht="18">
      <c r="A610" s="9">
        <f>IF(Table1[[#This Row],[کد کوپ]]&lt;1,0,A609+1)</f>
        <v>609</v>
      </c>
      <c r="B610" s="9">
        <v>4886</v>
      </c>
      <c r="C610" s="10">
        <v>45580</v>
      </c>
      <c r="D610" s="11">
        <v>21.45</v>
      </c>
      <c r="E610" s="12">
        <v>2.5</v>
      </c>
      <c r="F610" s="12">
        <v>2</v>
      </c>
      <c r="G610" s="12">
        <v>1.7</v>
      </c>
      <c r="H610" s="9" t="s">
        <v>9</v>
      </c>
      <c r="I610" s="9" t="s">
        <v>27</v>
      </c>
      <c r="J610" s="9" t="s">
        <v>65</v>
      </c>
      <c r="K610"/>
      <c r="U610"/>
      <c r="V610"/>
    </row>
    <row r="611" spans="1:22" ht="18">
      <c r="A611" s="9">
        <f>IF(Table1[[#This Row],[کد کوپ]]&lt;1,0,A610+1)</f>
        <v>610</v>
      </c>
      <c r="B611" s="9">
        <v>4887</v>
      </c>
      <c r="C611" s="10">
        <v>45580</v>
      </c>
      <c r="D611" s="11">
        <v>21.74</v>
      </c>
      <c r="E611" s="12">
        <v>2.9</v>
      </c>
      <c r="F611" s="12">
        <v>2.0499999999999998</v>
      </c>
      <c r="G611" s="12">
        <v>1.6</v>
      </c>
      <c r="H611" s="9" t="s">
        <v>9</v>
      </c>
      <c r="I611" s="9" t="s">
        <v>27</v>
      </c>
      <c r="J611" s="9" t="s">
        <v>65</v>
      </c>
      <c r="K611"/>
      <c r="U611"/>
      <c r="V611"/>
    </row>
    <row r="612" spans="1:22" ht="18">
      <c r="A612" s="9">
        <f>IF(Table1[[#This Row],[کد کوپ]]&lt;1,0,A611+1)</f>
        <v>611</v>
      </c>
      <c r="B612" s="9">
        <v>4888</v>
      </c>
      <c r="C612" s="10">
        <v>45580</v>
      </c>
      <c r="D612" s="11">
        <v>25.75</v>
      </c>
      <c r="E612" s="12">
        <v>2.7</v>
      </c>
      <c r="F612" s="12">
        <v>1.9</v>
      </c>
      <c r="G612" s="12">
        <v>1.65</v>
      </c>
      <c r="H612" s="9" t="s">
        <v>9</v>
      </c>
      <c r="I612" s="9" t="s">
        <v>27</v>
      </c>
      <c r="J612" s="9" t="s">
        <v>65</v>
      </c>
      <c r="K612"/>
      <c r="U612"/>
      <c r="V612"/>
    </row>
    <row r="613" spans="1:22" ht="18" hidden="1">
      <c r="A613" s="9">
        <f>IF(Table1[[#This Row],[کد کوپ]]&lt;1,0,A612+1)</f>
        <v>612</v>
      </c>
      <c r="B613" s="9">
        <v>4889</v>
      </c>
      <c r="C613" s="10">
        <v>45581</v>
      </c>
      <c r="D613" s="11">
        <v>7.5</v>
      </c>
      <c r="E613" s="12">
        <v>1.95</v>
      </c>
      <c r="F613" s="12">
        <v>1.9</v>
      </c>
      <c r="G613" s="12">
        <v>0.75</v>
      </c>
      <c r="H613" s="9" t="s">
        <v>23</v>
      </c>
      <c r="I613" s="9" t="s">
        <v>24</v>
      </c>
      <c r="J613" s="9" t="s">
        <v>25</v>
      </c>
      <c r="K613"/>
      <c r="U613"/>
      <c r="V613"/>
    </row>
    <row r="614" spans="1:22" ht="18" hidden="1">
      <c r="A614" s="9">
        <f>IF(Table1[[#This Row],[کد کوپ]]&lt;1,0,A613+1)</f>
        <v>613</v>
      </c>
      <c r="B614" s="9">
        <v>4890</v>
      </c>
      <c r="C614" s="10">
        <v>45581</v>
      </c>
      <c r="D614" s="11">
        <v>7.36</v>
      </c>
      <c r="E614" s="12">
        <v>3.1</v>
      </c>
      <c r="F614" s="12">
        <v>2.12</v>
      </c>
      <c r="G614" s="12">
        <v>0.45</v>
      </c>
      <c r="H614" s="9" t="s">
        <v>23</v>
      </c>
      <c r="I614" s="9" t="s">
        <v>24</v>
      </c>
      <c r="J614" s="9" t="s">
        <v>25</v>
      </c>
      <c r="K614"/>
      <c r="U614"/>
      <c r="V614"/>
    </row>
    <row r="615" spans="1:22" ht="18" hidden="1">
      <c r="A615" s="9">
        <f>IF(Table1[[#This Row],[کد کوپ]]&lt;1,0,A614+1)</f>
        <v>614</v>
      </c>
      <c r="B615" s="9">
        <v>4891</v>
      </c>
      <c r="C615" s="10">
        <v>45581</v>
      </c>
      <c r="D615" s="11">
        <v>7.7</v>
      </c>
      <c r="E615" s="12">
        <v>3.05</v>
      </c>
      <c r="F615" s="12">
        <v>1.6</v>
      </c>
      <c r="G615" s="12">
        <v>0.55000000000000004</v>
      </c>
      <c r="H615" s="9" t="s">
        <v>23</v>
      </c>
      <c r="I615" s="9" t="s">
        <v>24</v>
      </c>
      <c r="J615" s="9" t="s">
        <v>25</v>
      </c>
      <c r="K615"/>
      <c r="U615"/>
      <c r="V615"/>
    </row>
    <row r="616" spans="1:22" ht="18" hidden="1">
      <c r="A616" s="9">
        <f>IF(Table1[[#This Row],[کد کوپ]]&lt;1,0,A615+1)</f>
        <v>615</v>
      </c>
      <c r="B616" s="9">
        <v>4892</v>
      </c>
      <c r="C616" s="10">
        <v>45581</v>
      </c>
      <c r="D616" s="11">
        <v>3.6</v>
      </c>
      <c r="E616" s="12">
        <v>2.75</v>
      </c>
      <c r="F616" s="12">
        <v>1.7</v>
      </c>
      <c r="G616" s="12">
        <v>0.3</v>
      </c>
      <c r="H616" s="9" t="s">
        <v>23</v>
      </c>
      <c r="I616" s="9" t="s">
        <v>24</v>
      </c>
      <c r="J616" s="9" t="s">
        <v>25</v>
      </c>
      <c r="K616"/>
      <c r="U616"/>
      <c r="V616"/>
    </row>
    <row r="617" spans="1:22" ht="18">
      <c r="A617" s="9">
        <f>IF(Table1[[#This Row],[کد کوپ]]&lt;1,0,A616+1)</f>
        <v>616</v>
      </c>
      <c r="B617" s="9">
        <v>4893</v>
      </c>
      <c r="C617" s="10">
        <v>45581</v>
      </c>
      <c r="D617" s="11">
        <v>16</v>
      </c>
      <c r="E617" s="12">
        <v>3.05</v>
      </c>
      <c r="F617" s="12">
        <v>1.65</v>
      </c>
      <c r="G617" s="12">
        <v>1.08</v>
      </c>
      <c r="H617" s="9" t="s">
        <v>9</v>
      </c>
      <c r="I617" s="9" t="s">
        <v>27</v>
      </c>
      <c r="J617" s="9" t="s">
        <v>65</v>
      </c>
      <c r="K617"/>
      <c r="U617"/>
      <c r="V617"/>
    </row>
    <row r="618" spans="1:22" ht="18" hidden="1">
      <c r="A618" s="9">
        <f>IF(Table1[[#This Row],[کد کوپ]]&lt;1,0,A617+1)</f>
        <v>617</v>
      </c>
      <c r="B618" s="9">
        <v>4894</v>
      </c>
      <c r="C618" s="10">
        <v>45586</v>
      </c>
      <c r="D618" s="11">
        <v>22.9</v>
      </c>
      <c r="E618" s="12">
        <v>2.6</v>
      </c>
      <c r="F618" s="12">
        <v>1.85</v>
      </c>
      <c r="G618" s="12">
        <v>1.75</v>
      </c>
      <c r="H618" s="9" t="s">
        <v>9</v>
      </c>
      <c r="I618" s="9" t="s">
        <v>10</v>
      </c>
      <c r="J618" s="9" t="s">
        <v>71</v>
      </c>
      <c r="K618"/>
      <c r="U618"/>
      <c r="V618"/>
    </row>
    <row r="619" spans="1:22" ht="18" hidden="1">
      <c r="A619" s="9">
        <f>IF(Table1[[#This Row],[کد کوپ]]&lt;1,0,A618+1)</f>
        <v>618</v>
      </c>
      <c r="B619" s="9">
        <v>4895</v>
      </c>
      <c r="C619" s="10">
        <v>45589</v>
      </c>
      <c r="D619" s="11">
        <v>17.2</v>
      </c>
      <c r="E619" s="12">
        <v>3.17</v>
      </c>
      <c r="F619" s="12">
        <v>1.75</v>
      </c>
      <c r="G619" s="12">
        <v>1.1499999999999999</v>
      </c>
      <c r="H619" s="9" t="s">
        <v>59</v>
      </c>
      <c r="I619" s="9" t="s">
        <v>10</v>
      </c>
      <c r="J619" s="9" t="s">
        <v>22</v>
      </c>
      <c r="K619"/>
      <c r="U619"/>
      <c r="V619"/>
    </row>
    <row r="620" spans="1:22" ht="18" hidden="1">
      <c r="A620" s="9">
        <f>IF(Table1[[#This Row],[کد کوپ]]&lt;1,0,A619+1)</f>
        <v>619</v>
      </c>
      <c r="B620" s="9">
        <v>4896</v>
      </c>
      <c r="C620" s="10">
        <v>45589</v>
      </c>
      <c r="D620" s="11">
        <v>11.8</v>
      </c>
      <c r="E620" s="12">
        <v>2.5</v>
      </c>
      <c r="F620" s="12">
        <v>1.9</v>
      </c>
      <c r="G620" s="12">
        <v>0.9</v>
      </c>
      <c r="H620" s="9" t="s">
        <v>59</v>
      </c>
      <c r="I620" s="9" t="s">
        <v>10</v>
      </c>
      <c r="J620" s="9" t="s">
        <v>22</v>
      </c>
      <c r="K620"/>
      <c r="U620"/>
      <c r="V620"/>
    </row>
    <row r="621" spans="1:22" ht="18" hidden="1">
      <c r="A621" s="9">
        <f>IF(Table1[[#This Row],[کد کوپ]]&lt;1,0,A620+1)</f>
        <v>620</v>
      </c>
      <c r="B621" s="9">
        <v>4897</v>
      </c>
      <c r="C621" s="10">
        <v>45589</v>
      </c>
      <c r="D621" s="11">
        <v>14.5</v>
      </c>
      <c r="E621" s="12">
        <v>2.35</v>
      </c>
      <c r="F621" s="12">
        <v>1.75</v>
      </c>
      <c r="G621" s="12">
        <v>1.25</v>
      </c>
      <c r="H621" s="9" t="s">
        <v>59</v>
      </c>
      <c r="I621" s="9" t="s">
        <v>10</v>
      </c>
      <c r="J621" s="9" t="s">
        <v>22</v>
      </c>
      <c r="K621"/>
      <c r="U621"/>
      <c r="V621"/>
    </row>
    <row r="622" spans="1:22" ht="18" hidden="1">
      <c r="A622" s="9">
        <f>IF(Table1[[#This Row],[کد کوپ]]&lt;1,0,A621+1)</f>
        <v>621</v>
      </c>
      <c r="B622" s="9">
        <v>4898</v>
      </c>
      <c r="C622" s="10">
        <v>45589</v>
      </c>
      <c r="D622" s="11">
        <v>13.45</v>
      </c>
      <c r="E622" s="12">
        <v>2.75</v>
      </c>
      <c r="F622" s="12">
        <v>1.55</v>
      </c>
      <c r="G622" s="12">
        <v>1.2</v>
      </c>
      <c r="H622" s="9" t="s">
        <v>59</v>
      </c>
      <c r="I622" s="9" t="s">
        <v>10</v>
      </c>
      <c r="J622" s="9" t="s">
        <v>22</v>
      </c>
      <c r="K622"/>
      <c r="U622"/>
      <c r="V622"/>
    </row>
    <row r="623" spans="1:22" ht="18" hidden="1">
      <c r="A623" s="9">
        <f>IF(Table1[[#This Row],[کد کوپ]]&lt;1,0,A622+1)</f>
        <v>622</v>
      </c>
      <c r="B623" s="9">
        <v>4899</v>
      </c>
      <c r="C623" s="10">
        <v>45591</v>
      </c>
      <c r="D623" s="11">
        <v>14.2</v>
      </c>
      <c r="E623" s="12">
        <v>2.5</v>
      </c>
      <c r="F623" s="12">
        <v>1.6</v>
      </c>
      <c r="G623" s="12">
        <v>1.35</v>
      </c>
      <c r="H623" s="9" t="s">
        <v>59</v>
      </c>
      <c r="I623" s="9" t="s">
        <v>10</v>
      </c>
      <c r="J623" s="9" t="s">
        <v>22</v>
      </c>
      <c r="K623"/>
      <c r="U623"/>
      <c r="V623"/>
    </row>
    <row r="624" spans="1:22" ht="18" hidden="1">
      <c r="A624" s="9">
        <f>IF(Table1[[#This Row],[کد کوپ]]&lt;1,0,A623+1)</f>
        <v>623</v>
      </c>
      <c r="B624" s="9">
        <v>4900</v>
      </c>
      <c r="C624" s="10">
        <v>45591</v>
      </c>
      <c r="D624" s="11">
        <v>12.5</v>
      </c>
      <c r="E624" s="12">
        <v>2.7</v>
      </c>
      <c r="F624" s="12">
        <v>1.75</v>
      </c>
      <c r="G624" s="12">
        <v>1</v>
      </c>
      <c r="H624" s="9" t="s">
        <v>59</v>
      </c>
      <c r="I624" s="9" t="s">
        <v>10</v>
      </c>
      <c r="J624" s="9" t="s">
        <v>22</v>
      </c>
      <c r="K624"/>
      <c r="U624"/>
      <c r="V624"/>
    </row>
    <row r="625" spans="1:22" ht="18" hidden="1">
      <c r="A625" s="9">
        <f>IF(Table1[[#This Row],[کد کوپ]]&lt;1,0,A624+1)</f>
        <v>624</v>
      </c>
      <c r="B625" s="9">
        <v>4901</v>
      </c>
      <c r="C625" s="10">
        <v>45591</v>
      </c>
      <c r="D625" s="11">
        <v>20.3</v>
      </c>
      <c r="E625" s="12">
        <v>2.8</v>
      </c>
      <c r="F625" s="12">
        <v>1.85</v>
      </c>
      <c r="G625" s="12">
        <v>1.3</v>
      </c>
      <c r="H625" s="9" t="s">
        <v>59</v>
      </c>
      <c r="I625" s="9" t="s">
        <v>10</v>
      </c>
      <c r="J625" s="9" t="s">
        <v>22</v>
      </c>
      <c r="K625"/>
      <c r="U625"/>
      <c r="V625"/>
    </row>
    <row r="626" spans="1:22" ht="18" hidden="1">
      <c r="A626" s="9">
        <f>IF(Table1[[#This Row],[کد کوپ]]&lt;1,0,A625+1)</f>
        <v>625</v>
      </c>
      <c r="B626" s="9">
        <v>4902</v>
      </c>
      <c r="C626" s="10">
        <v>45592</v>
      </c>
      <c r="D626" s="11">
        <v>11.3</v>
      </c>
      <c r="E626" s="12">
        <v>2.7</v>
      </c>
      <c r="F626" s="12">
        <v>1.6</v>
      </c>
      <c r="G626" s="12">
        <v>0.95</v>
      </c>
      <c r="H626" s="9" t="s">
        <v>59</v>
      </c>
      <c r="I626" s="9" t="s">
        <v>10</v>
      </c>
      <c r="J626" s="9" t="s">
        <v>22</v>
      </c>
      <c r="K626"/>
      <c r="U626"/>
      <c r="V626"/>
    </row>
    <row r="627" spans="1:22" ht="18" hidden="1">
      <c r="A627" s="9">
        <f>IF(Table1[[#This Row],[کد کوپ]]&lt;1,0,A626+1)</f>
        <v>626</v>
      </c>
      <c r="B627" s="9">
        <v>4903</v>
      </c>
      <c r="C627" s="10">
        <v>45592</v>
      </c>
      <c r="D627" s="11">
        <v>16.600000000000001</v>
      </c>
      <c r="E627" s="12">
        <v>2.95</v>
      </c>
      <c r="F627" s="12">
        <v>1.9</v>
      </c>
      <c r="G627" s="12">
        <v>1.1000000000000001</v>
      </c>
      <c r="H627" s="9" t="s">
        <v>59</v>
      </c>
      <c r="I627" s="9" t="s">
        <v>10</v>
      </c>
      <c r="J627" s="9" t="s">
        <v>22</v>
      </c>
      <c r="K627"/>
      <c r="U627"/>
      <c r="V627"/>
    </row>
    <row r="628" spans="1:22" ht="18" hidden="1">
      <c r="A628" s="9">
        <f>IF(Table1[[#This Row],[کد کوپ]]&lt;1,0,A627+1)</f>
        <v>627</v>
      </c>
      <c r="B628" s="9">
        <v>4904</v>
      </c>
      <c r="C628" s="10">
        <v>45592</v>
      </c>
      <c r="D628" s="11">
        <v>12.65</v>
      </c>
      <c r="E628" s="12">
        <v>2.4500000000000002</v>
      </c>
      <c r="F628" s="12">
        <v>1.85</v>
      </c>
      <c r="G628" s="12">
        <v>1</v>
      </c>
      <c r="H628" s="9" t="s">
        <v>59</v>
      </c>
      <c r="I628" s="9" t="s">
        <v>10</v>
      </c>
      <c r="J628" s="9" t="s">
        <v>22</v>
      </c>
      <c r="K628"/>
      <c r="U628"/>
      <c r="V628"/>
    </row>
    <row r="629" spans="1:22" ht="18" hidden="1">
      <c r="A629" s="9">
        <f>IF(Table1[[#This Row],[کد کوپ]]&lt;1,0,A628+1)</f>
        <v>628</v>
      </c>
      <c r="B629" s="9">
        <v>4905</v>
      </c>
      <c r="C629" s="10">
        <v>45592</v>
      </c>
      <c r="D629" s="11">
        <v>14.7</v>
      </c>
      <c r="E629" s="12">
        <v>2.5499999999999998</v>
      </c>
      <c r="F629" s="12">
        <v>1.9</v>
      </c>
      <c r="G629" s="12">
        <v>1.1000000000000001</v>
      </c>
      <c r="H629" s="9" t="s">
        <v>59</v>
      </c>
      <c r="I629" s="9" t="s">
        <v>10</v>
      </c>
      <c r="J629" s="9" t="s">
        <v>22</v>
      </c>
      <c r="K629"/>
      <c r="U629"/>
      <c r="V629"/>
    </row>
    <row r="630" spans="1:22" ht="18" hidden="1">
      <c r="A630" s="9">
        <f>IF(Table1[[#This Row],[کد کوپ]]&lt;1,0,A629+1)</f>
        <v>629</v>
      </c>
      <c r="B630" s="9">
        <v>4906</v>
      </c>
      <c r="C630" s="10">
        <v>45594</v>
      </c>
      <c r="D630" s="11">
        <v>23.15</v>
      </c>
      <c r="E630" s="12">
        <v>3</v>
      </c>
      <c r="F630" s="12">
        <v>1.8</v>
      </c>
      <c r="G630" s="12">
        <v>1.7</v>
      </c>
      <c r="H630" s="9" t="s">
        <v>72</v>
      </c>
      <c r="I630" s="9" t="s">
        <v>34</v>
      </c>
      <c r="J630" s="9" t="s">
        <v>73</v>
      </c>
      <c r="K630"/>
      <c r="U630"/>
      <c r="V630"/>
    </row>
    <row r="631" spans="1:22" ht="18" hidden="1">
      <c r="A631" s="9">
        <f>IF(Table1[[#This Row],[کد کوپ]]&lt;1,0,A630+1)</f>
        <v>630</v>
      </c>
      <c r="B631" s="9">
        <v>4907</v>
      </c>
      <c r="C631" s="10">
        <v>45594</v>
      </c>
      <c r="D631" s="11">
        <v>20.2</v>
      </c>
      <c r="E631" s="12">
        <v>2.5499999999999998</v>
      </c>
      <c r="F631" s="12">
        <v>1.8</v>
      </c>
      <c r="G631" s="12">
        <v>1.75</v>
      </c>
      <c r="H631" s="9" t="s">
        <v>72</v>
      </c>
      <c r="I631" s="9" t="s">
        <v>34</v>
      </c>
      <c r="J631" s="9" t="s">
        <v>73</v>
      </c>
      <c r="K631"/>
      <c r="U631"/>
      <c r="V631"/>
    </row>
    <row r="632" spans="1:22" ht="18" hidden="1">
      <c r="A632" s="9">
        <f>IF(Table1[[#This Row],[کد کوپ]]&lt;1,0,A631+1)</f>
        <v>631</v>
      </c>
      <c r="B632" s="9">
        <v>4908</v>
      </c>
      <c r="C632" s="10">
        <v>45595</v>
      </c>
      <c r="D632" s="11">
        <v>2.2000000000000002</v>
      </c>
      <c r="E632" s="12">
        <v>2.0499999999999998</v>
      </c>
      <c r="F632" s="12">
        <v>1.3</v>
      </c>
      <c r="G632" s="12">
        <v>0.35</v>
      </c>
      <c r="H632" s="9" t="s">
        <v>23</v>
      </c>
      <c r="I632" s="9" t="s">
        <v>24</v>
      </c>
      <c r="J632" s="9" t="s">
        <v>25</v>
      </c>
      <c r="K632"/>
      <c r="U632"/>
      <c r="V632"/>
    </row>
    <row r="633" spans="1:22" ht="18" hidden="1">
      <c r="A633" s="9">
        <f>IF(Table1[[#This Row],[کد کوپ]]&lt;1,0,A632+1)</f>
        <v>632</v>
      </c>
      <c r="B633" s="9">
        <v>4909</v>
      </c>
      <c r="C633" s="10">
        <v>45595</v>
      </c>
      <c r="D633" s="11">
        <v>4</v>
      </c>
      <c r="E633" s="12">
        <v>2.5</v>
      </c>
      <c r="F633" s="12">
        <v>1.4</v>
      </c>
      <c r="G633" s="12">
        <v>0.4</v>
      </c>
      <c r="H633" s="9" t="s">
        <v>23</v>
      </c>
      <c r="I633" s="9" t="s">
        <v>24</v>
      </c>
      <c r="J633" s="9" t="s">
        <v>25</v>
      </c>
      <c r="K633"/>
      <c r="U633"/>
      <c r="V633"/>
    </row>
    <row r="634" spans="1:22" ht="18" hidden="1">
      <c r="A634" s="9">
        <f>IF(Table1[[#This Row],[کد کوپ]]&lt;1,0,A633+1)</f>
        <v>633</v>
      </c>
      <c r="B634" s="9">
        <v>4910</v>
      </c>
      <c r="C634" s="10">
        <v>45595</v>
      </c>
      <c r="D634" s="11">
        <v>3.6</v>
      </c>
      <c r="E634" s="12">
        <v>2.15</v>
      </c>
      <c r="F634" s="12">
        <v>1.55</v>
      </c>
      <c r="G634" s="12">
        <v>0.38</v>
      </c>
      <c r="H634" s="9" t="s">
        <v>23</v>
      </c>
      <c r="I634" s="9" t="s">
        <v>24</v>
      </c>
      <c r="J634" s="9" t="s">
        <v>25</v>
      </c>
      <c r="K634"/>
      <c r="U634"/>
      <c r="V634"/>
    </row>
    <row r="635" spans="1:22" ht="18" hidden="1">
      <c r="A635" s="9">
        <f>IF(Table1[[#This Row],[کد کوپ]]&lt;1,0,A634+1)</f>
        <v>634</v>
      </c>
      <c r="B635" s="9">
        <v>4911</v>
      </c>
      <c r="C635" s="10">
        <v>45595</v>
      </c>
      <c r="D635" s="11">
        <v>5.5</v>
      </c>
      <c r="E635" s="12">
        <v>3</v>
      </c>
      <c r="F635" s="12">
        <v>2.0499999999999998</v>
      </c>
      <c r="G635" s="12">
        <v>0.35</v>
      </c>
      <c r="H635" s="9" t="s">
        <v>23</v>
      </c>
      <c r="I635" s="9" t="s">
        <v>24</v>
      </c>
      <c r="J635" s="9" t="s">
        <v>25</v>
      </c>
      <c r="K635"/>
      <c r="U635"/>
      <c r="V635"/>
    </row>
    <row r="636" spans="1:22" ht="18" hidden="1">
      <c r="A636" s="9">
        <f>IF(Table1[[#This Row],[کد کوپ]]&lt;1,0,A635+1)</f>
        <v>635</v>
      </c>
      <c r="B636" s="9">
        <v>4912</v>
      </c>
      <c r="C636" s="10">
        <v>45595</v>
      </c>
      <c r="D636" s="11">
        <v>2</v>
      </c>
      <c r="E636" s="12">
        <v>1.95</v>
      </c>
      <c r="F636" s="12">
        <v>1.5</v>
      </c>
      <c r="G636" s="12">
        <v>0.25</v>
      </c>
      <c r="H636" s="9" t="s">
        <v>23</v>
      </c>
      <c r="I636" s="9" t="s">
        <v>24</v>
      </c>
      <c r="J636" s="9" t="s">
        <v>25</v>
      </c>
      <c r="K636"/>
      <c r="U636"/>
      <c r="V636"/>
    </row>
    <row r="637" spans="1:22" ht="18" hidden="1">
      <c r="A637" s="9">
        <f>IF(Table1[[#This Row],[کد کوپ]]&lt;1,0,A636+1)</f>
        <v>636</v>
      </c>
      <c r="B637" s="9">
        <v>4913</v>
      </c>
      <c r="C637" s="10">
        <v>45595</v>
      </c>
      <c r="D637" s="11">
        <v>3.3</v>
      </c>
      <c r="E637" s="12">
        <v>1.95</v>
      </c>
      <c r="F637" s="12">
        <v>1.55</v>
      </c>
      <c r="G637" s="12">
        <v>0.38</v>
      </c>
      <c r="H637" s="9" t="s">
        <v>23</v>
      </c>
      <c r="I637" s="9" t="s">
        <v>24</v>
      </c>
      <c r="J637" s="9" t="s">
        <v>25</v>
      </c>
      <c r="K637"/>
      <c r="U637"/>
      <c r="V637"/>
    </row>
    <row r="638" spans="1:22" ht="18" hidden="1">
      <c r="A638" s="9">
        <f>IF(Table1[[#This Row],[کد کوپ]]&lt;1,0,A637+1)</f>
        <v>637</v>
      </c>
      <c r="B638" s="9">
        <v>4914</v>
      </c>
      <c r="C638" s="10">
        <v>45596</v>
      </c>
      <c r="D638" s="11">
        <v>3</v>
      </c>
      <c r="E638" s="12">
        <v>2.5499999999999998</v>
      </c>
      <c r="F638" s="12">
        <v>1.05</v>
      </c>
      <c r="G638" s="12">
        <v>0.4</v>
      </c>
      <c r="H638" s="9" t="s">
        <v>23</v>
      </c>
      <c r="I638" s="9" t="s">
        <v>24</v>
      </c>
      <c r="J638" s="9" t="s">
        <v>25</v>
      </c>
      <c r="K638"/>
      <c r="U638"/>
      <c r="V638"/>
    </row>
    <row r="639" spans="1:22" ht="18" hidden="1">
      <c r="A639" s="9">
        <f>IF(Table1[[#This Row],[کد کوپ]]&lt;1,0,A638+1)</f>
        <v>638</v>
      </c>
      <c r="B639" s="9">
        <v>4915</v>
      </c>
      <c r="C639" s="10">
        <v>45596</v>
      </c>
      <c r="D639" s="11">
        <v>5.2</v>
      </c>
      <c r="E639" s="12">
        <v>3.15</v>
      </c>
      <c r="F639" s="12">
        <v>1.3</v>
      </c>
      <c r="G639" s="12">
        <v>0.45</v>
      </c>
      <c r="H639" s="9" t="s">
        <v>23</v>
      </c>
      <c r="I639" s="9" t="s">
        <v>24</v>
      </c>
      <c r="J639" s="9" t="s">
        <v>25</v>
      </c>
      <c r="K639"/>
      <c r="U639"/>
      <c r="V639"/>
    </row>
    <row r="640" spans="1:22" ht="18" hidden="1">
      <c r="A640" s="9">
        <f>IF(Table1[[#This Row],[کد کوپ]]&lt;1,0,A639+1)</f>
        <v>639</v>
      </c>
      <c r="B640" s="9">
        <v>4916</v>
      </c>
      <c r="C640" s="10">
        <v>45596</v>
      </c>
      <c r="D640" s="11">
        <v>3.65</v>
      </c>
      <c r="E640" s="12">
        <v>1.97</v>
      </c>
      <c r="F640" s="12">
        <v>1.8</v>
      </c>
      <c r="G640" s="12">
        <v>0.38</v>
      </c>
      <c r="H640" s="9" t="s">
        <v>23</v>
      </c>
      <c r="I640" s="9" t="s">
        <v>24</v>
      </c>
      <c r="J640" s="9" t="s">
        <v>25</v>
      </c>
      <c r="K640"/>
      <c r="U640"/>
      <c r="V640"/>
    </row>
    <row r="641" spans="1:22" ht="18" hidden="1">
      <c r="A641" s="9">
        <f>IF(Table1[[#This Row],[کد کوپ]]&lt;1,0,A640+1)</f>
        <v>640</v>
      </c>
      <c r="B641" s="9">
        <v>4917</v>
      </c>
      <c r="C641" s="10">
        <v>45596</v>
      </c>
      <c r="D641" s="11">
        <v>4.9000000000000004</v>
      </c>
      <c r="E641" s="12">
        <v>2</v>
      </c>
      <c r="F641" s="12">
        <v>2</v>
      </c>
      <c r="G641" s="12">
        <v>0.47</v>
      </c>
      <c r="H641" s="9" t="s">
        <v>23</v>
      </c>
      <c r="I641" s="9" t="s">
        <v>24</v>
      </c>
      <c r="J641" s="9" t="s">
        <v>25</v>
      </c>
      <c r="K641"/>
      <c r="U641"/>
      <c r="V641"/>
    </row>
    <row r="642" spans="1:22" ht="18" hidden="1">
      <c r="A642" s="9">
        <f>IF(Table1[[#This Row],[کد کوپ]]&lt;1,0,A641+1)</f>
        <v>641</v>
      </c>
      <c r="B642" s="9">
        <v>4918</v>
      </c>
      <c r="C642" s="10">
        <v>45596</v>
      </c>
      <c r="D642" s="11">
        <v>2.2999999999999998</v>
      </c>
      <c r="E642" s="12">
        <v>2.0499999999999998</v>
      </c>
      <c r="F642" s="12">
        <v>1.65</v>
      </c>
      <c r="G642" s="12">
        <v>0.25</v>
      </c>
      <c r="H642" s="9" t="s">
        <v>23</v>
      </c>
      <c r="I642" s="9" t="s">
        <v>24</v>
      </c>
      <c r="J642" s="9" t="s">
        <v>25</v>
      </c>
      <c r="K642"/>
      <c r="U642"/>
      <c r="V642"/>
    </row>
    <row r="643" spans="1:22" ht="18" hidden="1">
      <c r="A643" s="9">
        <f>IF(Table1[[#This Row],[کد کوپ]]&lt;1,0,A642+1)</f>
        <v>642</v>
      </c>
      <c r="B643" s="9">
        <v>4919</v>
      </c>
      <c r="C643" s="10">
        <v>45596</v>
      </c>
      <c r="D643" s="11">
        <v>6</v>
      </c>
      <c r="E643" s="12">
        <v>2</v>
      </c>
      <c r="F643" s="12">
        <v>1.9</v>
      </c>
      <c r="G643" s="12">
        <v>0.55000000000000004</v>
      </c>
      <c r="H643" s="9" t="s">
        <v>23</v>
      </c>
      <c r="I643" s="9" t="s">
        <v>24</v>
      </c>
      <c r="J643" s="9" t="s">
        <v>25</v>
      </c>
      <c r="K643"/>
      <c r="U643"/>
      <c r="V643"/>
    </row>
    <row r="644" spans="1:22" ht="18" hidden="1">
      <c r="A644" s="9">
        <f>IF(Table1[[#This Row],[کد کوپ]]&lt;1,0,A643+1)</f>
        <v>643</v>
      </c>
      <c r="B644" s="9">
        <v>4920</v>
      </c>
      <c r="C644" s="10">
        <v>45596</v>
      </c>
      <c r="D644" s="11">
        <v>28</v>
      </c>
      <c r="E644" s="12">
        <v>2.8</v>
      </c>
      <c r="F644" s="12">
        <v>2.0499999999999998</v>
      </c>
      <c r="G644" s="12">
        <v>2.0499999999999998</v>
      </c>
      <c r="H644" s="9" t="s">
        <v>72</v>
      </c>
      <c r="I644" s="9" t="s">
        <v>34</v>
      </c>
      <c r="J644" s="9" t="s">
        <v>73</v>
      </c>
      <c r="K644"/>
      <c r="U644"/>
      <c r="V644"/>
    </row>
    <row r="645" spans="1:22" ht="18" hidden="1">
      <c r="A645" s="9">
        <f>IF(Table1[[#This Row],[کد کوپ]]&lt;1,0,A644+1)</f>
        <v>644</v>
      </c>
      <c r="B645" s="9">
        <v>4921</v>
      </c>
      <c r="C645" s="10">
        <v>45600</v>
      </c>
      <c r="D645" s="11">
        <v>26.8</v>
      </c>
      <c r="E645" s="12">
        <v>2.9</v>
      </c>
      <c r="F645" s="12">
        <v>2.0499999999999998</v>
      </c>
      <c r="G645" s="12">
        <v>1.6</v>
      </c>
      <c r="H645" s="9" t="s">
        <v>74</v>
      </c>
      <c r="I645" s="9" t="s">
        <v>10</v>
      </c>
      <c r="J645" s="9" t="s">
        <v>75</v>
      </c>
      <c r="K645"/>
      <c r="U645"/>
      <c r="V645"/>
    </row>
    <row r="646" spans="1:22" ht="18" hidden="1">
      <c r="A646" s="9">
        <f>IF(Table1[[#This Row],[کد کوپ]]&lt;1,0,A645+1)</f>
        <v>645</v>
      </c>
      <c r="B646" s="9">
        <v>4922</v>
      </c>
      <c r="C646" s="10">
        <v>45601</v>
      </c>
      <c r="D646" s="11">
        <v>2.8</v>
      </c>
      <c r="E646" s="12">
        <v>2.0299999999999998</v>
      </c>
      <c r="F646" s="12">
        <v>1.8</v>
      </c>
      <c r="G646" s="12">
        <v>0.28000000000000003</v>
      </c>
      <c r="H646" s="9" t="s">
        <v>23</v>
      </c>
      <c r="I646" s="9" t="s">
        <v>24</v>
      </c>
      <c r="J646" s="9" t="s">
        <v>25</v>
      </c>
      <c r="K646"/>
      <c r="U646"/>
      <c r="V646"/>
    </row>
    <row r="647" spans="1:22" ht="18" hidden="1">
      <c r="A647" s="9">
        <f>IF(Table1[[#This Row],[کد کوپ]]&lt;1,0,A646+1)</f>
        <v>646</v>
      </c>
      <c r="B647" s="9">
        <v>4923</v>
      </c>
      <c r="C647" s="10">
        <v>45601</v>
      </c>
      <c r="D647" s="11">
        <v>3.65</v>
      </c>
      <c r="E647" s="12">
        <v>2.6</v>
      </c>
      <c r="F647" s="12">
        <v>1.93</v>
      </c>
      <c r="G647" s="12">
        <v>0.3</v>
      </c>
      <c r="H647" s="9" t="s">
        <v>23</v>
      </c>
      <c r="I647" s="9" t="s">
        <v>24</v>
      </c>
      <c r="J647" s="9" t="s">
        <v>25</v>
      </c>
      <c r="K647"/>
      <c r="U647"/>
      <c r="V647"/>
    </row>
    <row r="648" spans="1:22" ht="18" hidden="1">
      <c r="A648" s="9">
        <f>IF(Table1[[#This Row],[کد کوپ]]&lt;1,0,A647+1)</f>
        <v>647</v>
      </c>
      <c r="B648" s="9">
        <v>4924</v>
      </c>
      <c r="C648" s="10">
        <v>45601</v>
      </c>
      <c r="D648" s="11">
        <v>1.4</v>
      </c>
      <c r="E648" s="12">
        <v>1.4</v>
      </c>
      <c r="F648" s="12">
        <v>1.1000000000000001</v>
      </c>
      <c r="G648" s="12">
        <v>0.32</v>
      </c>
      <c r="H648" s="9" t="s">
        <v>23</v>
      </c>
      <c r="I648" s="9" t="s">
        <v>24</v>
      </c>
      <c r="J648" s="9" t="s">
        <v>25</v>
      </c>
      <c r="K648"/>
      <c r="U648"/>
      <c r="V648"/>
    </row>
    <row r="649" spans="1:22" ht="18" hidden="1">
      <c r="A649" s="9">
        <f>IF(Table1[[#This Row],[کد کوپ]]&lt;1,0,A648+1)</f>
        <v>648</v>
      </c>
      <c r="B649" s="9">
        <v>4925</v>
      </c>
      <c r="C649" s="10">
        <v>45601</v>
      </c>
      <c r="D649" s="11">
        <v>4.1500000000000004</v>
      </c>
      <c r="E649" s="12">
        <v>1.9</v>
      </c>
      <c r="F649" s="12">
        <v>1.4</v>
      </c>
      <c r="G649" s="12">
        <v>0.57999999999999996</v>
      </c>
      <c r="H649" s="9" t="s">
        <v>23</v>
      </c>
      <c r="I649" s="9" t="s">
        <v>24</v>
      </c>
      <c r="J649" s="9" t="s">
        <v>25</v>
      </c>
      <c r="K649"/>
      <c r="U649"/>
      <c r="V649"/>
    </row>
    <row r="650" spans="1:22" ht="18" hidden="1">
      <c r="A650" s="9">
        <f>IF(Table1[[#This Row],[کد کوپ]]&lt;1,0,A649+1)</f>
        <v>649</v>
      </c>
      <c r="B650" s="9">
        <v>4926</v>
      </c>
      <c r="C650" s="10">
        <v>45601</v>
      </c>
      <c r="D650" s="11">
        <v>3.1</v>
      </c>
      <c r="E650" s="12">
        <v>2.4</v>
      </c>
      <c r="F650" s="12">
        <v>1.9</v>
      </c>
      <c r="G650" s="12">
        <v>0.3</v>
      </c>
      <c r="H650" s="9" t="s">
        <v>23</v>
      </c>
      <c r="I650" s="9" t="s">
        <v>24</v>
      </c>
      <c r="J650" s="9" t="s">
        <v>25</v>
      </c>
      <c r="K650"/>
      <c r="U650"/>
      <c r="V650"/>
    </row>
    <row r="651" spans="1:22" ht="18" hidden="1">
      <c r="A651" s="9">
        <f>IF(Table1[[#This Row],[کد کوپ]]&lt;1,0,A650+1)</f>
        <v>650</v>
      </c>
      <c r="B651" s="9">
        <v>4927</v>
      </c>
      <c r="C651" s="10">
        <v>45601</v>
      </c>
      <c r="D651" s="11">
        <v>5.4</v>
      </c>
      <c r="E651" s="12">
        <v>2.1</v>
      </c>
      <c r="F651" s="12">
        <v>1.8</v>
      </c>
      <c r="G651" s="12">
        <v>0.5</v>
      </c>
      <c r="H651" s="9" t="s">
        <v>23</v>
      </c>
      <c r="I651" s="9" t="s">
        <v>24</v>
      </c>
      <c r="J651" s="9" t="s">
        <v>25</v>
      </c>
      <c r="K651"/>
      <c r="U651"/>
      <c r="V651"/>
    </row>
    <row r="652" spans="1:22" ht="18" hidden="1">
      <c r="A652" s="9">
        <f>IF(Table1[[#This Row],[کد کوپ]]&lt;1,0,A651+1)</f>
        <v>651</v>
      </c>
      <c r="B652" s="9">
        <v>4928</v>
      </c>
      <c r="C652" s="10">
        <v>45601</v>
      </c>
      <c r="D652" s="11">
        <v>18</v>
      </c>
      <c r="E652" s="12">
        <v>3.2</v>
      </c>
      <c r="F652" s="12">
        <v>1.95</v>
      </c>
      <c r="G652" s="12">
        <v>1.3</v>
      </c>
      <c r="H652" s="9" t="s">
        <v>72</v>
      </c>
      <c r="I652" s="9" t="s">
        <v>34</v>
      </c>
      <c r="J652" s="9" t="s">
        <v>76</v>
      </c>
      <c r="K652"/>
      <c r="U652"/>
      <c r="V652"/>
    </row>
    <row r="653" spans="1:22" ht="18" hidden="1">
      <c r="A653" s="9">
        <f>IF(Table1[[#This Row],[کد کوپ]]&lt;1,0,A652+1)</f>
        <v>652</v>
      </c>
      <c r="B653" s="9">
        <v>4929</v>
      </c>
      <c r="C653" s="10">
        <v>45607</v>
      </c>
      <c r="D653" s="11">
        <v>20.46</v>
      </c>
      <c r="E653" s="12">
        <v>2.35</v>
      </c>
      <c r="F653" s="12">
        <v>1.95</v>
      </c>
      <c r="G653" s="12">
        <v>1.75</v>
      </c>
      <c r="H653" s="9" t="s">
        <v>77</v>
      </c>
      <c r="I653" s="9" t="s">
        <v>10</v>
      </c>
      <c r="J653" s="9" t="s">
        <v>78</v>
      </c>
      <c r="K653"/>
      <c r="U653"/>
      <c r="V653"/>
    </row>
    <row r="654" spans="1:22" ht="18" hidden="1">
      <c r="A654" s="9">
        <f>IF(Table1[[#This Row],[کد کوپ]]&lt;1,0,A653+1)</f>
        <v>653</v>
      </c>
      <c r="B654" s="9">
        <v>4930</v>
      </c>
      <c r="C654" s="10">
        <v>45607</v>
      </c>
      <c r="D654" s="11">
        <v>13.03</v>
      </c>
      <c r="E654" s="12">
        <v>2.75</v>
      </c>
      <c r="F654" s="12">
        <v>1.5</v>
      </c>
      <c r="G654" s="12">
        <v>1.1499999999999999</v>
      </c>
      <c r="H654" s="9" t="s">
        <v>77</v>
      </c>
      <c r="I654" s="9" t="s">
        <v>10</v>
      </c>
      <c r="J654" s="9" t="s">
        <v>78</v>
      </c>
      <c r="K654"/>
      <c r="U654"/>
      <c r="V654"/>
    </row>
    <row r="655" spans="1:22" ht="18" hidden="1">
      <c r="A655" s="9">
        <f>IF(Table1[[#This Row],[کد کوپ]]&lt;1,0,A654+1)</f>
        <v>654</v>
      </c>
      <c r="B655" s="9">
        <v>4931</v>
      </c>
      <c r="C655" s="10">
        <v>45608</v>
      </c>
      <c r="D655" s="11">
        <v>24.8</v>
      </c>
      <c r="E655" s="12">
        <v>3</v>
      </c>
      <c r="F655" s="12">
        <v>1.75</v>
      </c>
      <c r="G655" s="12">
        <v>1.7</v>
      </c>
      <c r="H655" s="9" t="s">
        <v>67</v>
      </c>
      <c r="I655" s="9" t="s">
        <v>10</v>
      </c>
      <c r="J655" s="9" t="s">
        <v>68</v>
      </c>
      <c r="K655"/>
      <c r="U655"/>
      <c r="V655"/>
    </row>
    <row r="656" spans="1:22" ht="18" hidden="1">
      <c r="A656" s="9">
        <f>IF(Table1[[#This Row],[کد کوپ]]&lt;1,0,A655+1)</f>
        <v>655</v>
      </c>
      <c r="B656" s="9">
        <v>4932</v>
      </c>
      <c r="C656" s="10">
        <v>45614</v>
      </c>
      <c r="D656" s="11">
        <v>21</v>
      </c>
      <c r="E656" s="12">
        <v>3</v>
      </c>
      <c r="F656" s="12">
        <v>1.8</v>
      </c>
      <c r="G656" s="12">
        <v>1.4</v>
      </c>
      <c r="H656" s="9" t="s">
        <v>9</v>
      </c>
      <c r="I656" s="9" t="s">
        <v>10</v>
      </c>
      <c r="J656" s="9" t="s">
        <v>79</v>
      </c>
      <c r="K656"/>
      <c r="U656"/>
      <c r="V656"/>
    </row>
    <row r="657" spans="1:22" ht="18" hidden="1">
      <c r="A657" s="9">
        <f>IF(Table1[[#This Row],[کد کوپ]]&lt;1,0,A656+1)</f>
        <v>656</v>
      </c>
      <c r="B657" s="9">
        <v>4933</v>
      </c>
      <c r="C657" s="10">
        <v>45614</v>
      </c>
      <c r="D657" s="11">
        <v>27.82</v>
      </c>
      <c r="E657" s="12">
        <v>2.63</v>
      </c>
      <c r="F657" s="12">
        <v>1.87</v>
      </c>
      <c r="G657" s="12">
        <v>2.25</v>
      </c>
      <c r="H657" s="9" t="s">
        <v>72</v>
      </c>
      <c r="I657" s="9" t="s">
        <v>34</v>
      </c>
      <c r="J657" s="9" t="s">
        <v>76</v>
      </c>
      <c r="K657"/>
      <c r="U657"/>
      <c r="V657"/>
    </row>
    <row r="658" spans="1:22" ht="18">
      <c r="A658" s="9">
        <f>IF(Table1[[#This Row],[کد کوپ]]&lt;1,0,A657+1)</f>
        <v>657</v>
      </c>
      <c r="B658" s="9">
        <v>4934</v>
      </c>
      <c r="C658" s="10">
        <v>45614</v>
      </c>
      <c r="D658" s="11">
        <v>24</v>
      </c>
      <c r="E658" s="12">
        <v>3</v>
      </c>
      <c r="F658" s="12">
        <v>1.9</v>
      </c>
      <c r="G658" s="12">
        <v>1.5</v>
      </c>
      <c r="H658" s="9" t="s">
        <v>9</v>
      </c>
      <c r="I658" s="9" t="s">
        <v>27</v>
      </c>
      <c r="J658" s="9" t="s">
        <v>80</v>
      </c>
      <c r="K658"/>
      <c r="U658"/>
      <c r="V658"/>
    </row>
    <row r="659" spans="1:22" ht="18" hidden="1">
      <c r="A659" s="9">
        <f>IF(Table1[[#This Row],[کد کوپ]]&lt;1,0,A658+1)</f>
        <v>658</v>
      </c>
      <c r="B659" s="9">
        <v>4935</v>
      </c>
      <c r="C659" s="10">
        <v>45615</v>
      </c>
      <c r="D659" s="11">
        <v>19.66</v>
      </c>
      <c r="E659" s="12">
        <v>2.5</v>
      </c>
      <c r="F659" s="12">
        <v>1.7</v>
      </c>
      <c r="G659" s="12">
        <v>1.65</v>
      </c>
      <c r="H659" s="9" t="s">
        <v>67</v>
      </c>
      <c r="I659" s="9" t="s">
        <v>10</v>
      </c>
      <c r="J659" s="9" t="s">
        <v>68</v>
      </c>
      <c r="K659"/>
      <c r="U659"/>
      <c r="V659"/>
    </row>
    <row r="660" spans="1:22" ht="18">
      <c r="A660" s="9">
        <f>IF(Table1[[#This Row],[کد کوپ]]&lt;1,0,A659+1)</f>
        <v>659</v>
      </c>
      <c r="B660" s="9">
        <v>4936</v>
      </c>
      <c r="C660" s="10">
        <v>45615</v>
      </c>
      <c r="D660" s="11">
        <v>26.41</v>
      </c>
      <c r="E660" s="12">
        <v>2.83</v>
      </c>
      <c r="F660" s="12">
        <v>1.97</v>
      </c>
      <c r="G660" s="12">
        <v>1.75</v>
      </c>
      <c r="H660" s="9" t="s">
        <v>9</v>
      </c>
      <c r="I660" s="9" t="s">
        <v>27</v>
      </c>
      <c r="J660" s="9" t="s">
        <v>65</v>
      </c>
      <c r="K660"/>
      <c r="U660"/>
      <c r="V660"/>
    </row>
    <row r="661" spans="1:22" ht="18" hidden="1">
      <c r="A661" s="9">
        <f>IF(Table1[[#This Row],[کد کوپ]]&lt;1,0,A660+1)</f>
        <v>660</v>
      </c>
      <c r="B661" s="9">
        <v>4937</v>
      </c>
      <c r="C661" s="10">
        <v>45618</v>
      </c>
      <c r="D661" s="11">
        <v>27.69</v>
      </c>
      <c r="E661" s="12">
        <v>3</v>
      </c>
      <c r="F661" s="12">
        <v>1.95</v>
      </c>
      <c r="G661" s="12">
        <v>1.95</v>
      </c>
      <c r="H661" s="9" t="s">
        <v>72</v>
      </c>
      <c r="I661" s="9" t="s">
        <v>34</v>
      </c>
      <c r="J661" s="9" t="s">
        <v>73</v>
      </c>
      <c r="K661"/>
      <c r="U661"/>
      <c r="V661"/>
    </row>
    <row r="662" spans="1:22" ht="18" hidden="1">
      <c r="A662" s="9">
        <f>IF(Table1[[#This Row],[کد کوپ]]&lt;1,0,A661+1)</f>
        <v>661</v>
      </c>
      <c r="B662" s="9">
        <v>4938</v>
      </c>
      <c r="C662" s="10">
        <v>45619</v>
      </c>
      <c r="D662" s="11">
        <v>26.5</v>
      </c>
      <c r="E662" s="12">
        <v>2.5499999999999998</v>
      </c>
      <c r="F662" s="12">
        <v>2.0299999999999998</v>
      </c>
      <c r="G662" s="12">
        <v>1.9</v>
      </c>
      <c r="H662" s="9" t="s">
        <v>59</v>
      </c>
      <c r="I662" s="9" t="s">
        <v>10</v>
      </c>
      <c r="J662" s="9" t="s">
        <v>60</v>
      </c>
      <c r="K662"/>
      <c r="U662"/>
      <c r="V662"/>
    </row>
    <row r="663" spans="1:22" ht="18" hidden="1">
      <c r="A663" s="9">
        <f>IF(Table1[[#This Row],[کد کوپ]]&lt;1,0,A662+1)</f>
        <v>662</v>
      </c>
      <c r="B663" s="9">
        <v>4939</v>
      </c>
      <c r="C663" s="10">
        <v>45620</v>
      </c>
      <c r="D663" s="11">
        <v>17.555</v>
      </c>
      <c r="E663" s="12">
        <v>3.05</v>
      </c>
      <c r="F663" s="12">
        <v>1.7</v>
      </c>
      <c r="G663" s="12">
        <v>1.4</v>
      </c>
      <c r="H663" s="9" t="s">
        <v>72</v>
      </c>
      <c r="I663" s="9" t="s">
        <v>34</v>
      </c>
      <c r="J663" s="9" t="s">
        <v>25</v>
      </c>
      <c r="K663"/>
      <c r="U663"/>
      <c r="V663"/>
    </row>
    <row r="664" spans="1:22" ht="18">
      <c r="A664" s="9">
        <f>IF(Table1[[#This Row],[کد کوپ]]&lt;1,0,A663+1)</f>
        <v>663</v>
      </c>
      <c r="B664" s="9">
        <v>4940</v>
      </c>
      <c r="C664" s="10">
        <v>45620</v>
      </c>
      <c r="D664" s="11">
        <v>25.24</v>
      </c>
      <c r="E664" s="12">
        <v>3.05</v>
      </c>
      <c r="F664" s="12">
        <v>1.85</v>
      </c>
      <c r="G664" s="12">
        <v>1.8</v>
      </c>
      <c r="H664" s="9" t="s">
        <v>9</v>
      </c>
      <c r="I664" s="9" t="s">
        <v>27</v>
      </c>
      <c r="J664" s="9" t="s">
        <v>65</v>
      </c>
      <c r="K664"/>
      <c r="U664"/>
      <c r="V664"/>
    </row>
    <row r="665" spans="1:22" ht="18">
      <c r="A665" s="9">
        <f>IF(Table1[[#This Row],[کد کوپ]]&lt;1,0,A664+1)</f>
        <v>664</v>
      </c>
      <c r="B665" s="9">
        <v>4941</v>
      </c>
      <c r="C665" s="10">
        <v>45620</v>
      </c>
      <c r="D665" s="11">
        <v>26.8</v>
      </c>
      <c r="E665" s="12">
        <v>2.9</v>
      </c>
      <c r="F665" s="12">
        <v>1.9</v>
      </c>
      <c r="G665" s="12">
        <v>1.8</v>
      </c>
      <c r="H665" s="9" t="s">
        <v>9</v>
      </c>
      <c r="I665" s="9" t="s">
        <v>27</v>
      </c>
      <c r="J665" s="9" t="s">
        <v>65</v>
      </c>
      <c r="K665"/>
      <c r="U665"/>
      <c r="V665"/>
    </row>
    <row r="666" spans="1:22" ht="18">
      <c r="A666" s="9">
        <f>IF(Table1[[#This Row],[کد کوپ]]&lt;1,0,A665+1)</f>
        <v>665</v>
      </c>
      <c r="B666" s="9">
        <v>4942</v>
      </c>
      <c r="C666" s="10">
        <v>45620</v>
      </c>
      <c r="D666" s="11">
        <v>27.41</v>
      </c>
      <c r="E666" s="12">
        <v>3.17</v>
      </c>
      <c r="F666" s="12">
        <v>1.5</v>
      </c>
      <c r="G666" s="12">
        <v>2</v>
      </c>
      <c r="H666" s="9" t="s">
        <v>9</v>
      </c>
      <c r="I666" s="9" t="s">
        <v>27</v>
      </c>
      <c r="J666" s="9" t="s">
        <v>65</v>
      </c>
      <c r="K666"/>
      <c r="U666"/>
      <c r="V666"/>
    </row>
    <row r="667" spans="1:22" ht="18">
      <c r="A667" s="9">
        <f>IF(Table1[[#This Row],[کد کوپ]]&lt;1,0,A666+1)</f>
        <v>666</v>
      </c>
      <c r="B667" s="9">
        <v>4943</v>
      </c>
      <c r="C667" s="10">
        <v>45620</v>
      </c>
      <c r="D667" s="11">
        <v>23.02</v>
      </c>
      <c r="E667" s="12">
        <v>2.2000000000000002</v>
      </c>
      <c r="F667" s="12">
        <v>2.0499999999999998</v>
      </c>
      <c r="G667" s="12">
        <v>1.7</v>
      </c>
      <c r="H667" s="9" t="s">
        <v>9</v>
      </c>
      <c r="I667" s="9" t="s">
        <v>27</v>
      </c>
      <c r="J667" s="9" t="s">
        <v>81</v>
      </c>
      <c r="K667"/>
      <c r="U667"/>
      <c r="V667"/>
    </row>
    <row r="668" spans="1:22" ht="18">
      <c r="A668" s="9">
        <f>IF(Table1[[#This Row],[کد کوپ]]&lt;1,0,A667+1)</f>
        <v>667</v>
      </c>
      <c r="B668" s="9">
        <v>4944</v>
      </c>
      <c r="C668" s="10">
        <v>45620</v>
      </c>
      <c r="D668" s="11">
        <v>13.06</v>
      </c>
      <c r="E668" s="12">
        <v>2.0499999999999998</v>
      </c>
      <c r="F668" s="12">
        <v>1.65</v>
      </c>
      <c r="G668" s="12">
        <v>1.4</v>
      </c>
      <c r="H668" s="9" t="s">
        <v>9</v>
      </c>
      <c r="I668" s="9" t="s">
        <v>27</v>
      </c>
      <c r="J668" s="9" t="s">
        <v>65</v>
      </c>
      <c r="K668"/>
      <c r="U668"/>
      <c r="V668"/>
    </row>
    <row r="669" spans="1:22" ht="18">
      <c r="A669" s="9">
        <f>IF(Table1[[#This Row],[کد کوپ]]&lt;1,0,A668+1)</f>
        <v>668</v>
      </c>
      <c r="B669" s="9">
        <v>4945</v>
      </c>
      <c r="C669" s="10">
        <v>45620</v>
      </c>
      <c r="D669" s="11">
        <v>23.82</v>
      </c>
      <c r="E669" s="12">
        <v>3.1</v>
      </c>
      <c r="F669" s="12">
        <v>2</v>
      </c>
      <c r="G669" s="12">
        <v>1.55</v>
      </c>
      <c r="H669" s="9" t="s">
        <v>9</v>
      </c>
      <c r="I669" s="9" t="s">
        <v>27</v>
      </c>
      <c r="J669" s="9" t="s">
        <v>65</v>
      </c>
      <c r="K669"/>
      <c r="U669"/>
      <c r="V669"/>
    </row>
    <row r="670" spans="1:22" ht="18">
      <c r="A670" s="9">
        <f>IF(Table1[[#This Row],[کد کوپ]]&lt;1,0,A669+1)</f>
        <v>669</v>
      </c>
      <c r="B670" s="9">
        <v>4946</v>
      </c>
      <c r="C670" s="10">
        <v>45620</v>
      </c>
      <c r="D670" s="11">
        <v>24.37</v>
      </c>
      <c r="E670" s="12">
        <v>2.95</v>
      </c>
      <c r="F670" s="12">
        <v>1.93</v>
      </c>
      <c r="G670" s="12">
        <v>1.5</v>
      </c>
      <c r="H670" s="9" t="s">
        <v>9</v>
      </c>
      <c r="I670" s="9" t="s">
        <v>27</v>
      </c>
      <c r="J670" s="9" t="s">
        <v>65</v>
      </c>
      <c r="K670"/>
      <c r="U670"/>
      <c r="V670"/>
    </row>
    <row r="671" spans="1:22" ht="18">
      <c r="A671" s="9">
        <f>IF(Table1[[#This Row],[کد کوپ]]&lt;1,0,A670+1)</f>
        <v>670</v>
      </c>
      <c r="B671" s="9">
        <v>4947</v>
      </c>
      <c r="C671" s="10">
        <v>45621</v>
      </c>
      <c r="D671" s="11">
        <v>20.04</v>
      </c>
      <c r="E671" s="12">
        <v>2.4500000000000002</v>
      </c>
      <c r="F671" s="12">
        <v>1.98</v>
      </c>
      <c r="G671" s="12">
        <v>1.58</v>
      </c>
      <c r="H671" s="9" t="s">
        <v>9</v>
      </c>
      <c r="I671" s="9" t="s">
        <v>27</v>
      </c>
      <c r="J671" s="9" t="s">
        <v>65</v>
      </c>
      <c r="K671"/>
      <c r="U671"/>
      <c r="V671"/>
    </row>
    <row r="672" spans="1:22" ht="18">
      <c r="A672" s="9">
        <f>IF(Table1[[#This Row],[کد کوپ]]&lt;1,0,A671+1)</f>
        <v>671</v>
      </c>
      <c r="B672" s="9">
        <v>4948</v>
      </c>
      <c r="C672" s="10">
        <v>45621</v>
      </c>
      <c r="D672" s="11">
        <v>24.88</v>
      </c>
      <c r="E672" s="12">
        <v>2.93</v>
      </c>
      <c r="F672" s="12">
        <v>2.0499999999999998</v>
      </c>
      <c r="G672" s="12">
        <v>1.5</v>
      </c>
      <c r="H672" s="9" t="s">
        <v>9</v>
      </c>
      <c r="I672" s="9" t="s">
        <v>27</v>
      </c>
      <c r="J672" s="9" t="s">
        <v>65</v>
      </c>
      <c r="K672"/>
      <c r="U672"/>
      <c r="V672"/>
    </row>
    <row r="673" spans="1:22" ht="18">
      <c r="A673" s="9">
        <f>IF(Table1[[#This Row],[کد کوپ]]&lt;1,0,A672+1)</f>
        <v>672</v>
      </c>
      <c r="B673" s="9">
        <v>4949</v>
      </c>
      <c r="C673" s="10">
        <v>45621</v>
      </c>
      <c r="D673" s="11">
        <v>20.6</v>
      </c>
      <c r="E673" s="12">
        <v>2.2999999999999998</v>
      </c>
      <c r="F673" s="12">
        <v>1.93</v>
      </c>
      <c r="G673" s="12">
        <v>1.7</v>
      </c>
      <c r="H673" s="9" t="s">
        <v>9</v>
      </c>
      <c r="I673" s="9" t="s">
        <v>27</v>
      </c>
      <c r="J673" s="9" t="s">
        <v>65</v>
      </c>
      <c r="K673"/>
      <c r="U673"/>
      <c r="V673"/>
    </row>
    <row r="674" spans="1:22" ht="18">
      <c r="A674" s="9">
        <f>IF(Table1[[#This Row],[کد کوپ]]&lt;1,0,A673+1)</f>
        <v>673</v>
      </c>
      <c r="B674" s="9">
        <v>4950</v>
      </c>
      <c r="C674" s="10">
        <v>45621</v>
      </c>
      <c r="D674" s="11">
        <v>26.39</v>
      </c>
      <c r="E674" s="12">
        <v>3.07</v>
      </c>
      <c r="F674" s="12">
        <v>1.92</v>
      </c>
      <c r="G674" s="12">
        <v>1.57</v>
      </c>
      <c r="H674" s="9" t="s">
        <v>9</v>
      </c>
      <c r="I674" s="9" t="s">
        <v>27</v>
      </c>
      <c r="J674" s="9" t="s">
        <v>65</v>
      </c>
      <c r="K674"/>
      <c r="U674"/>
      <c r="V674"/>
    </row>
    <row r="675" spans="1:22" ht="18">
      <c r="A675" s="9">
        <f>IF(Table1[[#This Row],[کد کوپ]]&lt;1,0,A674+1)</f>
        <v>674</v>
      </c>
      <c r="B675" s="9">
        <v>1</v>
      </c>
      <c r="C675" s="14">
        <v>45621</v>
      </c>
      <c r="D675" s="11">
        <v>27.62</v>
      </c>
      <c r="E675" s="12">
        <v>3.03</v>
      </c>
      <c r="F675" s="12">
        <v>1.98</v>
      </c>
      <c r="G675" s="12">
        <v>1.9</v>
      </c>
      <c r="H675" s="9" t="s">
        <v>9</v>
      </c>
      <c r="I675" s="9" t="s">
        <v>27</v>
      </c>
      <c r="J675" s="9" t="s">
        <v>65</v>
      </c>
      <c r="K675"/>
      <c r="U675"/>
      <c r="V675"/>
    </row>
    <row r="676" spans="1:22" ht="18" hidden="1">
      <c r="A676" s="9">
        <f>IF(Table1[[#This Row],[کد کوپ]]&lt;1,0,A675+1)</f>
        <v>675</v>
      </c>
      <c r="B676" s="9">
        <v>2</v>
      </c>
      <c r="C676" s="10">
        <v>45623</v>
      </c>
      <c r="D676" s="11">
        <v>13.404999999999999</v>
      </c>
      <c r="E676" s="12">
        <v>3.5</v>
      </c>
      <c r="F676" s="12">
        <v>1.8</v>
      </c>
      <c r="G676" s="12">
        <v>0.9</v>
      </c>
      <c r="H676" s="9" t="s">
        <v>82</v>
      </c>
      <c r="I676" s="9" t="s">
        <v>34</v>
      </c>
      <c r="J676" s="9" t="s">
        <v>25</v>
      </c>
      <c r="K676"/>
      <c r="U676"/>
      <c r="V676"/>
    </row>
    <row r="677" spans="1:22" ht="18" hidden="1">
      <c r="A677" s="9">
        <f>IF(Table1[[#This Row],[کد کوپ]]&lt;1,0,A676+1)</f>
        <v>676</v>
      </c>
      <c r="B677" s="9">
        <v>3</v>
      </c>
      <c r="C677" s="10">
        <v>45623</v>
      </c>
      <c r="D677" s="11">
        <v>10.31</v>
      </c>
      <c r="E677" s="12">
        <v>3.25</v>
      </c>
      <c r="F677" s="12">
        <v>1.8</v>
      </c>
      <c r="G677" s="12">
        <v>0.73</v>
      </c>
      <c r="H677" s="9" t="s">
        <v>82</v>
      </c>
      <c r="I677" s="9" t="s">
        <v>34</v>
      </c>
      <c r="J677" s="9" t="s">
        <v>25</v>
      </c>
      <c r="K677"/>
      <c r="U677"/>
      <c r="V677"/>
    </row>
    <row r="678" spans="1:22" ht="18" hidden="1">
      <c r="A678" s="9">
        <f>IF(Table1[[#This Row],[کد کوپ]]&lt;1,0,A677+1)</f>
        <v>677</v>
      </c>
      <c r="B678" s="9">
        <v>4</v>
      </c>
      <c r="C678" s="10">
        <v>45626</v>
      </c>
      <c r="D678" s="11">
        <v>26.1</v>
      </c>
      <c r="E678" s="12">
        <v>3.15</v>
      </c>
      <c r="F678" s="12">
        <v>2.12</v>
      </c>
      <c r="G678" s="12">
        <v>1.45</v>
      </c>
      <c r="H678" s="9" t="s">
        <v>59</v>
      </c>
      <c r="I678" s="9" t="s">
        <v>10</v>
      </c>
      <c r="J678" s="9" t="s">
        <v>60</v>
      </c>
      <c r="K678"/>
      <c r="U678"/>
      <c r="V678"/>
    </row>
    <row r="679" spans="1:22" ht="18" hidden="1">
      <c r="A679" s="9">
        <f>IF(Table1[[#This Row],[کد کوپ]]&lt;1,0,A678+1)</f>
        <v>678</v>
      </c>
      <c r="B679" s="9">
        <v>5</v>
      </c>
      <c r="C679" s="10">
        <v>45626</v>
      </c>
      <c r="D679" s="11">
        <v>14.7</v>
      </c>
      <c r="E679" s="12">
        <v>2.95</v>
      </c>
      <c r="F679" s="12">
        <v>2.0499999999999998</v>
      </c>
      <c r="G679" s="12">
        <v>0.9</v>
      </c>
      <c r="H679" s="9" t="s">
        <v>59</v>
      </c>
      <c r="I679" s="9" t="s">
        <v>10</v>
      </c>
      <c r="J679" s="9" t="s">
        <v>60</v>
      </c>
      <c r="K679"/>
      <c r="U679"/>
      <c r="V679"/>
    </row>
    <row r="680" spans="1:22" ht="18" hidden="1">
      <c r="A680" s="9">
        <f>IF(Table1[[#This Row],[کد کوپ]]&lt;1,0,A679+1)</f>
        <v>679</v>
      </c>
      <c r="B680" s="9">
        <v>6</v>
      </c>
      <c r="C680" s="10">
        <v>45626</v>
      </c>
      <c r="D680" s="11">
        <v>20.420000000000002</v>
      </c>
      <c r="E680" s="12">
        <v>3</v>
      </c>
      <c r="F680" s="12">
        <v>1.85</v>
      </c>
      <c r="G680" s="12">
        <v>1.27</v>
      </c>
      <c r="H680" s="9" t="s">
        <v>59</v>
      </c>
      <c r="I680" s="9" t="s">
        <v>10</v>
      </c>
      <c r="J680" s="9" t="s">
        <v>60</v>
      </c>
      <c r="K680"/>
      <c r="U680"/>
      <c r="V680"/>
    </row>
    <row r="681" spans="1:22" ht="18" hidden="1">
      <c r="A681" s="9">
        <f>IF(Table1[[#This Row],[کد کوپ]]&lt;1,0,A680+1)</f>
        <v>680</v>
      </c>
      <c r="B681" s="9">
        <v>7</v>
      </c>
      <c r="C681" s="10">
        <v>45626</v>
      </c>
      <c r="D681" s="11">
        <v>20.260000000000002</v>
      </c>
      <c r="E681" s="12">
        <v>2.5</v>
      </c>
      <c r="F681" s="12">
        <v>2.4</v>
      </c>
      <c r="G681" s="12">
        <v>1.5</v>
      </c>
      <c r="H681" s="9" t="s">
        <v>59</v>
      </c>
      <c r="I681" s="9" t="s">
        <v>10</v>
      </c>
      <c r="J681" s="9" t="s">
        <v>60</v>
      </c>
      <c r="K681"/>
      <c r="U681"/>
      <c r="V681"/>
    </row>
    <row r="682" spans="1:22" ht="18" hidden="1">
      <c r="A682" s="9">
        <f>IF(Table1[[#This Row],[کد کوپ]]&lt;1,0,A681+1)</f>
        <v>681</v>
      </c>
      <c r="B682" s="9">
        <v>8</v>
      </c>
      <c r="C682" s="10">
        <v>45626</v>
      </c>
      <c r="D682" s="11">
        <v>13.7</v>
      </c>
      <c r="E682" s="12">
        <v>2.35</v>
      </c>
      <c r="F682" s="12">
        <v>2.0499999999999998</v>
      </c>
      <c r="G682" s="12">
        <v>1.05</v>
      </c>
      <c r="H682" s="9" t="s">
        <v>59</v>
      </c>
      <c r="I682" s="9" t="s">
        <v>10</v>
      </c>
      <c r="J682" s="9" t="s">
        <v>60</v>
      </c>
      <c r="K682"/>
      <c r="U682"/>
      <c r="V682"/>
    </row>
    <row r="683" spans="1:22" ht="18" hidden="1">
      <c r="A683" s="9">
        <f>IF(Table1[[#This Row],[کد کوپ]]&lt;1,0,A682+1)</f>
        <v>682</v>
      </c>
      <c r="B683" s="9">
        <v>9</v>
      </c>
      <c r="C683" s="10">
        <v>45631</v>
      </c>
      <c r="D683" s="11">
        <v>28.86</v>
      </c>
      <c r="E683" s="12">
        <v>3.05</v>
      </c>
      <c r="F683" s="12">
        <v>2.0499999999999998</v>
      </c>
      <c r="G683" s="12">
        <v>1.75</v>
      </c>
      <c r="H683" s="9" t="s">
        <v>59</v>
      </c>
      <c r="I683" s="9" t="s">
        <v>10</v>
      </c>
      <c r="J683" s="9" t="s">
        <v>60</v>
      </c>
      <c r="K683"/>
      <c r="U683"/>
      <c r="V683"/>
    </row>
    <row r="684" spans="1:22" ht="18" hidden="1">
      <c r="A684" s="9">
        <f>IF(Table1[[#This Row],[کد کوپ]]&lt;1,0,A683+1)</f>
        <v>683</v>
      </c>
      <c r="B684" s="9">
        <v>10</v>
      </c>
      <c r="C684" s="14">
        <v>45633</v>
      </c>
      <c r="D684" s="11">
        <v>28.454999999999998</v>
      </c>
      <c r="E684" s="12">
        <v>3.08</v>
      </c>
      <c r="F684" s="12">
        <v>1.97</v>
      </c>
      <c r="G684" s="12">
        <v>1.75</v>
      </c>
      <c r="H684" s="9" t="s">
        <v>59</v>
      </c>
      <c r="I684" s="9" t="s">
        <v>10</v>
      </c>
      <c r="J684" s="9" t="s">
        <v>60</v>
      </c>
      <c r="K684"/>
      <c r="U684"/>
      <c r="V684"/>
    </row>
    <row r="685" spans="1:22" ht="18" hidden="1">
      <c r="A685" s="9">
        <f>IF(Table1[[#This Row],[کد کوپ]]&lt;1,0,A684+1)</f>
        <v>684</v>
      </c>
      <c r="B685" s="9">
        <v>11</v>
      </c>
      <c r="C685" s="14">
        <v>45633</v>
      </c>
      <c r="D685" s="11">
        <v>27.07</v>
      </c>
      <c r="E685" s="12">
        <v>2.58</v>
      </c>
      <c r="F685" s="12">
        <v>2</v>
      </c>
      <c r="G685" s="12">
        <v>1.95</v>
      </c>
      <c r="H685" s="9" t="s">
        <v>59</v>
      </c>
      <c r="I685" s="9" t="s">
        <v>10</v>
      </c>
      <c r="J685" s="9" t="s">
        <v>60</v>
      </c>
      <c r="K685"/>
      <c r="U685"/>
      <c r="V685"/>
    </row>
    <row r="686" spans="1:22" ht="18" hidden="1">
      <c r="A686" s="9">
        <f>IF(Table1[[#This Row],[کد کوپ]]&lt;1,0,A685+1)</f>
        <v>685</v>
      </c>
      <c r="B686" s="9">
        <v>12</v>
      </c>
      <c r="C686" s="14">
        <v>45634</v>
      </c>
      <c r="D686" s="11">
        <v>16.52</v>
      </c>
      <c r="E686" s="12">
        <v>2.6</v>
      </c>
      <c r="F686" s="12">
        <v>1.2</v>
      </c>
      <c r="G686" s="12">
        <v>2</v>
      </c>
      <c r="H686" s="9" t="s">
        <v>59</v>
      </c>
      <c r="I686" s="9" t="s">
        <v>10</v>
      </c>
      <c r="J686" s="9" t="s">
        <v>60</v>
      </c>
      <c r="K686"/>
      <c r="U686"/>
      <c r="V686"/>
    </row>
    <row r="687" spans="1:22" ht="18" hidden="1">
      <c r="A687" s="9">
        <f>IF(Table1[[#This Row],[کد کوپ]]&lt;1,0,A686+1)</f>
        <v>686</v>
      </c>
      <c r="B687" s="9">
        <v>13</v>
      </c>
      <c r="C687" s="14">
        <v>45634</v>
      </c>
      <c r="D687" s="11">
        <v>17.600000000000001</v>
      </c>
      <c r="E687" s="12">
        <v>2.85</v>
      </c>
      <c r="F687" s="12">
        <v>1.27</v>
      </c>
      <c r="G687" s="12">
        <v>1.8</v>
      </c>
      <c r="H687" s="9" t="s">
        <v>59</v>
      </c>
      <c r="I687" s="9" t="s">
        <v>10</v>
      </c>
      <c r="J687" s="9" t="s">
        <v>60</v>
      </c>
      <c r="K687"/>
      <c r="U687"/>
      <c r="V687"/>
    </row>
    <row r="688" spans="1:22" ht="18" hidden="1">
      <c r="A688" s="9">
        <f>IF(Table1[[#This Row],[کد کوپ]]&lt;1,0,A687+1)</f>
        <v>687</v>
      </c>
      <c r="B688" s="9">
        <v>14</v>
      </c>
      <c r="C688" s="14">
        <v>45635</v>
      </c>
      <c r="D688" s="11">
        <v>26.844999999999999</v>
      </c>
      <c r="E688" s="12">
        <v>2.4500000000000002</v>
      </c>
      <c r="F688" s="12">
        <v>2.2999999999999998</v>
      </c>
      <c r="G688" s="12">
        <v>1.93</v>
      </c>
      <c r="H688" s="9" t="s">
        <v>59</v>
      </c>
      <c r="I688" s="9" t="s">
        <v>10</v>
      </c>
      <c r="J688" s="9" t="s">
        <v>60</v>
      </c>
      <c r="K688"/>
      <c r="U688"/>
      <c r="V688"/>
    </row>
    <row r="689" spans="1:22" ht="18" hidden="1">
      <c r="A689" s="9">
        <f>IF(Table1[[#This Row],[کد کوپ]]&lt;1,0,A688+1)</f>
        <v>688</v>
      </c>
      <c r="B689" s="9">
        <v>15</v>
      </c>
      <c r="C689" s="14">
        <v>45637</v>
      </c>
      <c r="D689" s="11">
        <v>28.215</v>
      </c>
      <c r="E689" s="12">
        <v>3.07</v>
      </c>
      <c r="F689" s="12">
        <v>2.0499999999999998</v>
      </c>
      <c r="G689" s="12">
        <v>1.65</v>
      </c>
      <c r="H689" s="9" t="s">
        <v>59</v>
      </c>
      <c r="I689" s="9" t="s">
        <v>10</v>
      </c>
      <c r="J689" s="9" t="s">
        <v>60</v>
      </c>
      <c r="K689"/>
      <c r="U689"/>
      <c r="V689"/>
    </row>
    <row r="690" spans="1:22" ht="18" hidden="1">
      <c r="A690" s="9">
        <f>IF(Table1[[#This Row],[کد کوپ]]&lt;1,0,A689+1)</f>
        <v>689</v>
      </c>
      <c r="B690" s="9">
        <v>16</v>
      </c>
      <c r="C690" s="14">
        <v>45637</v>
      </c>
      <c r="D690" s="11">
        <v>24.16</v>
      </c>
      <c r="E690" s="12">
        <v>3.1</v>
      </c>
      <c r="F690" s="12">
        <v>2.0499999999999998</v>
      </c>
      <c r="G690" s="12">
        <v>1.4</v>
      </c>
      <c r="H690" s="9" t="s">
        <v>59</v>
      </c>
      <c r="I690" s="9" t="s">
        <v>10</v>
      </c>
      <c r="J690" s="9" t="s">
        <v>60</v>
      </c>
      <c r="K690"/>
      <c r="U690"/>
      <c r="V690"/>
    </row>
    <row r="691" spans="1:22" ht="18" hidden="1">
      <c r="A691" s="9">
        <f>IF(Table1[[#This Row],[کد کوپ]]&lt;1,0,A690+1)</f>
        <v>690</v>
      </c>
      <c r="B691" s="9">
        <v>17</v>
      </c>
      <c r="C691" s="14">
        <v>45637</v>
      </c>
      <c r="D691" s="11">
        <v>17.54</v>
      </c>
      <c r="E691" s="12">
        <v>2.65</v>
      </c>
      <c r="F691" s="12">
        <v>1.85</v>
      </c>
      <c r="G691" s="12">
        <v>1.5</v>
      </c>
      <c r="H691" s="9" t="s">
        <v>59</v>
      </c>
      <c r="I691" s="9" t="s">
        <v>34</v>
      </c>
      <c r="J691" s="9" t="s">
        <v>42</v>
      </c>
      <c r="K691"/>
      <c r="U691"/>
      <c r="V691"/>
    </row>
    <row r="692" spans="1:22" ht="18" hidden="1">
      <c r="A692" s="9">
        <f>IF(Table1[[#This Row],[کد کوپ]]&lt;1,0,A691+1)</f>
        <v>691</v>
      </c>
      <c r="B692" s="9">
        <v>18</v>
      </c>
      <c r="C692" s="14">
        <v>45637</v>
      </c>
      <c r="D692" s="11">
        <v>14.82</v>
      </c>
      <c r="E692" s="12">
        <v>2.95</v>
      </c>
      <c r="F692" s="12">
        <v>1.4</v>
      </c>
      <c r="G692" s="12">
        <v>1.3</v>
      </c>
      <c r="H692" s="9" t="s">
        <v>59</v>
      </c>
      <c r="I692" s="9" t="s">
        <v>34</v>
      </c>
      <c r="J692" s="9" t="s">
        <v>42</v>
      </c>
      <c r="K692"/>
      <c r="U692"/>
      <c r="V692"/>
    </row>
    <row r="693" spans="1:22" ht="18">
      <c r="A693" s="9">
        <f>IF(Table1[[#This Row],[کد کوپ]]&lt;1,0,A692+1)</f>
        <v>692</v>
      </c>
      <c r="B693" s="9">
        <v>19</v>
      </c>
      <c r="C693" s="14">
        <v>45637</v>
      </c>
      <c r="D693" s="11">
        <v>30.05</v>
      </c>
      <c r="E693" s="12">
        <v>3.05</v>
      </c>
      <c r="F693" s="12">
        <v>2.0499999999999998</v>
      </c>
      <c r="G693" s="12">
        <v>1.8</v>
      </c>
      <c r="H693" s="9" t="s">
        <v>9</v>
      </c>
      <c r="I693" s="9" t="s">
        <v>27</v>
      </c>
      <c r="J693" s="9" t="s">
        <v>81</v>
      </c>
      <c r="K693"/>
      <c r="U693"/>
      <c r="V693"/>
    </row>
    <row r="694" spans="1:22" ht="18" hidden="1">
      <c r="A694" s="9">
        <f>IF(Table1[[#This Row],[کد کوپ]]&lt;1,0,A693+1)</f>
        <v>693</v>
      </c>
      <c r="B694" s="9">
        <v>20</v>
      </c>
      <c r="C694" s="14">
        <v>45638</v>
      </c>
      <c r="D694" s="11">
        <v>17.079999999999998</v>
      </c>
      <c r="E694" s="12">
        <v>2.2000000000000002</v>
      </c>
      <c r="F694" s="12">
        <v>1.85</v>
      </c>
      <c r="G694" s="12">
        <v>1.65</v>
      </c>
      <c r="H694" s="9" t="s">
        <v>77</v>
      </c>
      <c r="I694" s="9" t="s">
        <v>10</v>
      </c>
      <c r="J694" s="9" t="s">
        <v>83</v>
      </c>
      <c r="K694"/>
      <c r="U694"/>
      <c r="V694"/>
    </row>
    <row r="695" spans="1:22" ht="18" hidden="1">
      <c r="A695" s="9">
        <f>IF(Table1[[#This Row],[کد کوپ]]&lt;1,0,A694+1)</f>
        <v>694</v>
      </c>
      <c r="B695" s="9">
        <v>21</v>
      </c>
      <c r="C695" s="14">
        <v>45638</v>
      </c>
      <c r="D695" s="11">
        <v>14</v>
      </c>
      <c r="E695" s="12">
        <v>2.15</v>
      </c>
      <c r="F695" s="12">
        <v>1.6</v>
      </c>
      <c r="G695" s="12">
        <v>1.55</v>
      </c>
      <c r="H695" s="9" t="s">
        <v>77</v>
      </c>
      <c r="I695" s="9" t="s">
        <v>10</v>
      </c>
      <c r="J695" s="9" t="s">
        <v>83</v>
      </c>
      <c r="K695"/>
      <c r="U695"/>
      <c r="V695"/>
    </row>
    <row r="696" spans="1:22" ht="18" hidden="1">
      <c r="A696" s="9">
        <f>IF(Table1[[#This Row],[کد کوپ]]&lt;1,0,A695+1)</f>
        <v>695</v>
      </c>
      <c r="B696" s="9">
        <v>22</v>
      </c>
      <c r="C696" s="14">
        <v>45638</v>
      </c>
      <c r="D696" s="11">
        <v>27.5</v>
      </c>
      <c r="E696" s="12">
        <v>3</v>
      </c>
      <c r="F696" s="12">
        <v>1.85</v>
      </c>
      <c r="G696" s="12">
        <v>1.8</v>
      </c>
      <c r="H696" s="9" t="s">
        <v>84</v>
      </c>
      <c r="I696" s="9" t="s">
        <v>10</v>
      </c>
      <c r="J696" s="9" t="s">
        <v>76</v>
      </c>
      <c r="K696"/>
      <c r="U696"/>
      <c r="V696"/>
    </row>
    <row r="697" spans="1:22" ht="18" hidden="1">
      <c r="A697" s="9">
        <f>IF(Table1[[#This Row],[کد کوپ]]&lt;1,0,A696+1)</f>
        <v>696</v>
      </c>
      <c r="B697" s="9">
        <v>23</v>
      </c>
      <c r="C697" s="10">
        <v>45640</v>
      </c>
      <c r="D697" s="11">
        <v>11.7</v>
      </c>
      <c r="E697" s="12">
        <v>3.03</v>
      </c>
      <c r="F697" s="12">
        <v>1.6</v>
      </c>
      <c r="G697" s="12">
        <v>0.9</v>
      </c>
      <c r="H697" s="9" t="s">
        <v>59</v>
      </c>
      <c r="I697" s="9" t="s">
        <v>10</v>
      </c>
      <c r="J697" s="9" t="s">
        <v>60</v>
      </c>
      <c r="K697"/>
      <c r="U697"/>
      <c r="V697"/>
    </row>
    <row r="698" spans="1:22" ht="18" hidden="1">
      <c r="A698" s="9">
        <f>IF(Table1[[#This Row],[کد کوپ]]&lt;1,0,A697+1)</f>
        <v>697</v>
      </c>
      <c r="B698" s="9">
        <v>24</v>
      </c>
      <c r="C698" s="10">
        <v>45640</v>
      </c>
      <c r="D698" s="11">
        <v>16.48</v>
      </c>
      <c r="E698" s="12">
        <v>2.8</v>
      </c>
      <c r="F698" s="12">
        <v>1.98</v>
      </c>
      <c r="G698" s="12">
        <v>1.1000000000000001</v>
      </c>
      <c r="H698" s="9" t="s">
        <v>59</v>
      </c>
      <c r="I698" s="9" t="s">
        <v>10</v>
      </c>
      <c r="J698" s="9" t="s">
        <v>60</v>
      </c>
      <c r="K698"/>
      <c r="U698"/>
      <c r="V698"/>
    </row>
    <row r="699" spans="1:22" ht="18">
      <c r="A699" s="9">
        <f>IF(Table1[[#This Row],[کد کوپ]]&lt;1,0,A698+1)</f>
        <v>698</v>
      </c>
      <c r="B699" s="9">
        <v>25</v>
      </c>
      <c r="C699" s="10">
        <v>45642</v>
      </c>
      <c r="D699" s="11">
        <v>17.895</v>
      </c>
      <c r="E699" s="12">
        <v>3.05</v>
      </c>
      <c r="F699" s="12">
        <v>1.5</v>
      </c>
      <c r="G699" s="12">
        <v>1.5</v>
      </c>
      <c r="H699" s="9" t="s">
        <v>82</v>
      </c>
      <c r="I699" s="9" t="s">
        <v>27</v>
      </c>
      <c r="J699" s="9"/>
      <c r="K699"/>
      <c r="U699"/>
      <c r="V699"/>
    </row>
    <row r="700" spans="1:22" ht="18" hidden="1">
      <c r="A700" s="9">
        <f>IF(Table1[[#This Row],[کد کوپ]]&lt;1,0,A699+1)</f>
        <v>699</v>
      </c>
      <c r="B700" s="9">
        <v>26</v>
      </c>
      <c r="C700" s="10">
        <v>45642</v>
      </c>
      <c r="D700" s="11">
        <v>21.24</v>
      </c>
      <c r="E700" s="12">
        <v>2.95</v>
      </c>
      <c r="F700" s="12">
        <v>2.0499999999999998</v>
      </c>
      <c r="G700" s="12">
        <v>1.3</v>
      </c>
      <c r="H700" s="9" t="s">
        <v>59</v>
      </c>
      <c r="I700" s="9" t="s">
        <v>10</v>
      </c>
      <c r="J700" s="9" t="s">
        <v>60</v>
      </c>
      <c r="K700"/>
      <c r="U700"/>
      <c r="V700"/>
    </row>
    <row r="701" spans="1:22" ht="18" hidden="1">
      <c r="A701" s="9">
        <f>IF(Table1[[#This Row],[کد کوپ]]&lt;1,0,A700+1)</f>
        <v>700</v>
      </c>
      <c r="B701" s="9">
        <v>27</v>
      </c>
      <c r="C701" s="10">
        <v>45642</v>
      </c>
      <c r="D701" s="11">
        <v>20</v>
      </c>
      <c r="E701" s="12">
        <v>2.5</v>
      </c>
      <c r="F701" s="12">
        <v>2</v>
      </c>
      <c r="G701" s="12">
        <v>1.53</v>
      </c>
      <c r="H701" s="9" t="s">
        <v>59</v>
      </c>
      <c r="I701" s="9" t="s">
        <v>10</v>
      </c>
      <c r="J701" s="9" t="s">
        <v>60</v>
      </c>
      <c r="K701"/>
      <c r="U701"/>
      <c r="V701"/>
    </row>
    <row r="702" spans="1:22" ht="18" hidden="1">
      <c r="A702" s="9">
        <f>IF(Table1[[#This Row],[کد کوپ]]&lt;1,0,A701+1)</f>
        <v>701</v>
      </c>
      <c r="B702" s="9">
        <v>28</v>
      </c>
      <c r="C702" s="10">
        <v>45642</v>
      </c>
      <c r="D702" s="11">
        <v>11.3</v>
      </c>
      <c r="E702" s="12">
        <v>2.35</v>
      </c>
      <c r="F702" s="12">
        <v>1.63</v>
      </c>
      <c r="G702" s="12">
        <v>1.1000000000000001</v>
      </c>
      <c r="H702" s="9" t="s">
        <v>59</v>
      </c>
      <c r="I702" s="9" t="s">
        <v>10</v>
      </c>
      <c r="J702" s="9" t="s">
        <v>60</v>
      </c>
      <c r="K702"/>
      <c r="U702"/>
      <c r="V702"/>
    </row>
    <row r="703" spans="1:22" ht="18" hidden="1">
      <c r="A703" s="9">
        <f>IF(Table1[[#This Row],[کد کوپ]]&lt;1,0,A702+1)</f>
        <v>702</v>
      </c>
      <c r="B703" s="9">
        <v>29</v>
      </c>
      <c r="C703" s="10">
        <v>45642</v>
      </c>
      <c r="D703" s="11">
        <v>16.7</v>
      </c>
      <c r="E703" s="12">
        <v>3</v>
      </c>
      <c r="F703" s="12">
        <v>2.0699999999999998</v>
      </c>
      <c r="G703" s="12">
        <v>1</v>
      </c>
      <c r="H703" s="9" t="s">
        <v>59</v>
      </c>
      <c r="I703" s="9" t="s">
        <v>10</v>
      </c>
      <c r="J703" s="9" t="s">
        <v>60</v>
      </c>
      <c r="K703"/>
      <c r="U703"/>
      <c r="V703"/>
    </row>
    <row r="704" spans="1:22" ht="18" hidden="1">
      <c r="A704" s="9">
        <f>IF(Table1[[#This Row],[کد کوپ]]&lt;1,0,A703+1)</f>
        <v>703</v>
      </c>
      <c r="B704" s="9">
        <v>30</v>
      </c>
      <c r="C704" s="10">
        <v>45642</v>
      </c>
      <c r="D704" s="11">
        <v>21.87</v>
      </c>
      <c r="E704" s="12">
        <v>2.9</v>
      </c>
      <c r="F704" s="12">
        <v>2.06</v>
      </c>
      <c r="G704" s="12">
        <v>1.3</v>
      </c>
      <c r="H704" s="9" t="s">
        <v>59</v>
      </c>
      <c r="I704" s="9" t="s">
        <v>10</v>
      </c>
      <c r="J704" s="9" t="s">
        <v>60</v>
      </c>
      <c r="K704"/>
      <c r="U704"/>
      <c r="V704"/>
    </row>
    <row r="705" spans="1:22" ht="18" hidden="1">
      <c r="A705" s="9">
        <f>IF(Table1[[#This Row],[کد کوپ]]&lt;1,0,A704+1)</f>
        <v>704</v>
      </c>
      <c r="B705" s="9">
        <v>31</v>
      </c>
      <c r="C705" s="10">
        <v>45643</v>
      </c>
      <c r="D705" s="11">
        <v>27.53</v>
      </c>
      <c r="E705" s="12">
        <v>3.1</v>
      </c>
      <c r="F705" s="12">
        <v>2.0499999999999998</v>
      </c>
      <c r="G705" s="12">
        <v>1.6</v>
      </c>
      <c r="H705" s="9" t="s">
        <v>59</v>
      </c>
      <c r="I705" s="9" t="s">
        <v>10</v>
      </c>
      <c r="J705" s="9" t="s">
        <v>60</v>
      </c>
      <c r="K705"/>
      <c r="U705"/>
      <c r="V705"/>
    </row>
    <row r="706" spans="1:22" ht="18" hidden="1">
      <c r="A706" s="9">
        <f>IF(Table1[[#This Row],[کد کوپ]]&lt;1,0,A705+1)</f>
        <v>705</v>
      </c>
      <c r="B706" s="9">
        <v>32</v>
      </c>
      <c r="C706" s="10">
        <v>45643</v>
      </c>
      <c r="D706" s="11">
        <v>33.020000000000003</v>
      </c>
      <c r="E706" s="12">
        <v>2.9</v>
      </c>
      <c r="F706" s="12">
        <v>2.0499999999999998</v>
      </c>
      <c r="G706" s="12">
        <v>2</v>
      </c>
      <c r="H706" s="9" t="s">
        <v>59</v>
      </c>
      <c r="I706" s="9" t="s">
        <v>10</v>
      </c>
      <c r="J706" s="9" t="s">
        <v>60</v>
      </c>
      <c r="K706"/>
      <c r="U706"/>
      <c r="V706"/>
    </row>
    <row r="707" spans="1:22" ht="18" hidden="1">
      <c r="A707" s="9">
        <f>IF(Table1[[#This Row],[کد کوپ]]&lt;1,0,A706+1)</f>
        <v>706</v>
      </c>
      <c r="B707" s="9">
        <v>33</v>
      </c>
      <c r="C707" s="10">
        <v>45643</v>
      </c>
      <c r="D707" s="11">
        <v>26.08</v>
      </c>
      <c r="E707" s="12">
        <v>2.78</v>
      </c>
      <c r="F707" s="12">
        <v>1.98</v>
      </c>
      <c r="G707" s="12">
        <v>1.8</v>
      </c>
      <c r="H707" s="9" t="s">
        <v>82</v>
      </c>
      <c r="I707" s="9" t="s">
        <v>10</v>
      </c>
      <c r="J707" s="9" t="s">
        <v>45</v>
      </c>
      <c r="K707"/>
      <c r="U707"/>
      <c r="V707"/>
    </row>
    <row r="708" spans="1:22" ht="18" hidden="1">
      <c r="A708" s="9">
        <f>IF(Table1[[#This Row],[کد کوپ]]&lt;1,0,A707+1)</f>
        <v>707</v>
      </c>
      <c r="B708" s="9">
        <v>34</v>
      </c>
      <c r="C708" s="10">
        <v>45643</v>
      </c>
      <c r="D708" s="11">
        <v>22.6</v>
      </c>
      <c r="E708" s="12">
        <v>2.5</v>
      </c>
      <c r="F708" s="12">
        <v>1.85</v>
      </c>
      <c r="G708" s="12">
        <v>1.8</v>
      </c>
      <c r="H708" s="9" t="s">
        <v>59</v>
      </c>
      <c r="I708" s="9" t="s">
        <v>10</v>
      </c>
      <c r="J708" s="9" t="s">
        <v>60</v>
      </c>
      <c r="K708"/>
      <c r="U708"/>
      <c r="V708"/>
    </row>
    <row r="709" spans="1:22" ht="18" hidden="1">
      <c r="A709" s="9">
        <f>IF(Table1[[#This Row],[کد کوپ]]&lt;1,0,A708+1)</f>
        <v>708</v>
      </c>
      <c r="B709" s="9">
        <v>35</v>
      </c>
      <c r="C709" s="10">
        <v>45651</v>
      </c>
      <c r="D709" s="11">
        <v>20.100000000000001</v>
      </c>
      <c r="E709" s="12">
        <v>2.35</v>
      </c>
      <c r="F709" s="12">
        <v>1.95</v>
      </c>
      <c r="G709" s="12">
        <v>1.8</v>
      </c>
      <c r="H709" s="9" t="s">
        <v>82</v>
      </c>
      <c r="I709" s="9" t="s">
        <v>34</v>
      </c>
      <c r="J709" s="9" t="s">
        <v>51</v>
      </c>
      <c r="K709"/>
      <c r="U709"/>
      <c r="V709"/>
    </row>
    <row r="710" spans="1:22" ht="18" hidden="1">
      <c r="A710" s="9">
        <f>IF(Table1[[#This Row],[کد کوپ]]&lt;1,0,A709+1)</f>
        <v>709</v>
      </c>
      <c r="B710" s="9">
        <v>36</v>
      </c>
      <c r="C710" s="10">
        <v>45665</v>
      </c>
      <c r="D710" s="11">
        <v>14.38</v>
      </c>
      <c r="E710" s="12">
        <v>2.65</v>
      </c>
      <c r="F710" s="12">
        <v>1.76</v>
      </c>
      <c r="G710" s="12">
        <v>1.25</v>
      </c>
      <c r="H710" s="9" t="s">
        <v>85</v>
      </c>
      <c r="I710" s="9" t="s">
        <v>10</v>
      </c>
      <c r="J710" s="9" t="s">
        <v>86</v>
      </c>
      <c r="K710"/>
      <c r="U710"/>
      <c r="V710"/>
    </row>
    <row r="711" spans="1:22" ht="18" hidden="1">
      <c r="A711" s="9">
        <f>IF(Table1[[#This Row],[کد کوپ]]&lt;1,0,A710+1)</f>
        <v>710</v>
      </c>
      <c r="B711" s="9">
        <v>37</v>
      </c>
      <c r="C711" s="10">
        <v>45665</v>
      </c>
      <c r="D711" s="11">
        <v>16.559999999999999</v>
      </c>
      <c r="E711" s="12">
        <v>2.9</v>
      </c>
      <c r="F711" s="12">
        <v>2.0299999999999998</v>
      </c>
      <c r="G711" s="12">
        <v>1.08</v>
      </c>
      <c r="H711" s="9" t="s">
        <v>85</v>
      </c>
      <c r="I711" s="9" t="s">
        <v>10</v>
      </c>
      <c r="J711" s="9" t="s">
        <v>86</v>
      </c>
      <c r="K711"/>
      <c r="U711"/>
      <c r="V711"/>
    </row>
    <row r="712" spans="1:22" ht="18" hidden="1">
      <c r="A712" s="9">
        <f>IF(Table1[[#This Row],[کد کوپ]]&lt;1,0,A711+1)</f>
        <v>711</v>
      </c>
      <c r="B712" s="9">
        <v>38</v>
      </c>
      <c r="C712" s="10">
        <v>45671</v>
      </c>
      <c r="D712" s="11">
        <v>27.39</v>
      </c>
      <c r="E712" s="12">
        <v>2.75</v>
      </c>
      <c r="F712" s="12">
        <v>2.1</v>
      </c>
      <c r="G712" s="12">
        <v>1.85</v>
      </c>
      <c r="H712" s="9" t="s">
        <v>9</v>
      </c>
      <c r="I712" s="9" t="s">
        <v>10</v>
      </c>
      <c r="J712" s="9" t="s">
        <v>60</v>
      </c>
      <c r="K712"/>
      <c r="U712"/>
      <c r="V712"/>
    </row>
    <row r="713" spans="1:22" ht="18" hidden="1">
      <c r="A713" s="9">
        <f>IF(Table1[[#This Row],[کد کوپ]]&lt;1,0,A712+1)</f>
        <v>712</v>
      </c>
      <c r="B713" s="9">
        <v>39</v>
      </c>
      <c r="C713" s="10">
        <v>45672</v>
      </c>
      <c r="D713" s="11">
        <v>29.4</v>
      </c>
      <c r="E713" s="12">
        <v>2.85</v>
      </c>
      <c r="F713" s="12">
        <v>2.11</v>
      </c>
      <c r="G713" s="12">
        <v>1.75</v>
      </c>
      <c r="H713" s="9" t="s">
        <v>59</v>
      </c>
      <c r="I713" s="9" t="s">
        <v>10</v>
      </c>
      <c r="J713" s="9" t="s">
        <v>87</v>
      </c>
      <c r="K713"/>
      <c r="U713"/>
      <c r="V713"/>
    </row>
    <row r="714" spans="1:22" ht="18" hidden="1">
      <c r="A714" s="9">
        <f>IF(Table1[[#This Row],[کد کوپ]]&lt;1,0,A713+1)</f>
        <v>713</v>
      </c>
      <c r="B714" s="9">
        <v>40</v>
      </c>
      <c r="C714" s="10">
        <v>45673</v>
      </c>
      <c r="D714" s="11">
        <v>10.35</v>
      </c>
      <c r="E714" s="12">
        <v>2.2999999999999998</v>
      </c>
      <c r="F714" s="12">
        <v>1.75</v>
      </c>
      <c r="G714" s="12">
        <v>0.9</v>
      </c>
      <c r="H714" s="9" t="s">
        <v>9</v>
      </c>
      <c r="I714" s="9" t="s">
        <v>10</v>
      </c>
      <c r="J714" s="9" t="s">
        <v>60</v>
      </c>
      <c r="K714"/>
      <c r="U714"/>
      <c r="V714"/>
    </row>
    <row r="715" spans="1:22" ht="18" hidden="1">
      <c r="A715" s="9">
        <f>IF(Table1[[#This Row],[کد کوپ]]&lt;1,0,A714+1)</f>
        <v>714</v>
      </c>
      <c r="B715" s="9">
        <v>41</v>
      </c>
      <c r="C715" s="10">
        <v>45673</v>
      </c>
      <c r="D715" s="11">
        <v>16.3</v>
      </c>
      <c r="E715" s="12">
        <v>2.95</v>
      </c>
      <c r="F715" s="12">
        <v>1.78</v>
      </c>
      <c r="G715" s="12">
        <v>1.2</v>
      </c>
      <c r="H715" s="9" t="s">
        <v>9</v>
      </c>
      <c r="I715" s="9" t="s">
        <v>10</v>
      </c>
      <c r="J715" s="9" t="s">
        <v>60</v>
      </c>
      <c r="K715"/>
      <c r="U715"/>
      <c r="V715"/>
    </row>
    <row r="716" spans="1:22" ht="18" hidden="1">
      <c r="A716" s="9">
        <f>IF(Table1[[#This Row],[کد کوپ]]&lt;1,0,A715+1)</f>
        <v>715</v>
      </c>
      <c r="B716" s="9">
        <v>42</v>
      </c>
      <c r="C716" s="10">
        <v>45674</v>
      </c>
      <c r="D716" s="11">
        <v>9.1</v>
      </c>
      <c r="E716" s="12">
        <v>2.15</v>
      </c>
      <c r="F716" s="12">
        <v>1.75</v>
      </c>
      <c r="G716" s="12">
        <v>0.9</v>
      </c>
      <c r="H716" s="9" t="s">
        <v>9</v>
      </c>
      <c r="I716" s="9" t="s">
        <v>10</v>
      </c>
      <c r="J716" s="9" t="s">
        <v>60</v>
      </c>
      <c r="K716"/>
      <c r="U716"/>
      <c r="V716"/>
    </row>
    <row r="717" spans="1:22" ht="18" hidden="1">
      <c r="A717" s="9">
        <f>IF(Table1[[#This Row],[کد کوپ]]&lt;1,0,A716+1)</f>
        <v>716</v>
      </c>
      <c r="B717" s="9">
        <v>43</v>
      </c>
      <c r="C717" s="10">
        <v>45674</v>
      </c>
      <c r="D717" s="11">
        <v>15.3</v>
      </c>
      <c r="E717" s="12">
        <v>2.0499999999999998</v>
      </c>
      <c r="F717" s="12">
        <v>1.8</v>
      </c>
      <c r="G717" s="12">
        <v>1.55</v>
      </c>
      <c r="H717" s="9" t="s">
        <v>9</v>
      </c>
      <c r="I717" s="9" t="s">
        <v>10</v>
      </c>
      <c r="J717" s="9" t="s">
        <v>60</v>
      </c>
      <c r="K717"/>
      <c r="U717"/>
      <c r="V717"/>
    </row>
    <row r="718" spans="1:22" ht="18" hidden="1">
      <c r="A718" s="9">
        <f>IF(Table1[[#This Row],[کد کوپ]]&lt;1,0,A717+1)</f>
        <v>717</v>
      </c>
      <c r="B718" s="9">
        <v>44</v>
      </c>
      <c r="C718" s="10">
        <v>45674</v>
      </c>
      <c r="D718" s="11">
        <v>12.6</v>
      </c>
      <c r="E718" s="12">
        <v>2</v>
      </c>
      <c r="F718" s="12">
        <v>1.75</v>
      </c>
      <c r="G718" s="12">
        <v>1.27</v>
      </c>
      <c r="H718" s="9" t="s">
        <v>9</v>
      </c>
      <c r="I718" s="9" t="s">
        <v>10</v>
      </c>
      <c r="J718" s="9" t="s">
        <v>60</v>
      </c>
      <c r="K718"/>
      <c r="U718"/>
      <c r="V718"/>
    </row>
    <row r="719" spans="1:22" ht="18" hidden="1">
      <c r="A719" s="9">
        <f>IF(Table1[[#This Row],[کد کوپ]]&lt;1,0,A718+1)</f>
        <v>718</v>
      </c>
      <c r="B719" s="9">
        <v>45</v>
      </c>
      <c r="C719" s="10">
        <v>45674</v>
      </c>
      <c r="D719" s="11">
        <v>12.8</v>
      </c>
      <c r="E719" s="12">
        <v>1.95</v>
      </c>
      <c r="F719" s="12">
        <v>1.8</v>
      </c>
      <c r="G719" s="12">
        <v>1.3</v>
      </c>
      <c r="H719" s="9" t="s">
        <v>9</v>
      </c>
      <c r="I719" s="9" t="s">
        <v>10</v>
      </c>
      <c r="J719" s="9" t="s">
        <v>60</v>
      </c>
      <c r="K719"/>
      <c r="U719"/>
      <c r="V719"/>
    </row>
    <row r="720" spans="1:22" ht="18" hidden="1">
      <c r="A720" s="9">
        <f>IF(Table1[[#This Row],[کد کوپ]]&lt;1,0,A719+1)</f>
        <v>719</v>
      </c>
      <c r="B720" s="9">
        <v>46</v>
      </c>
      <c r="C720" s="10">
        <v>45675</v>
      </c>
      <c r="D720" s="11">
        <v>24.8</v>
      </c>
      <c r="E720" s="12">
        <v>2.8</v>
      </c>
      <c r="F720" s="12">
        <v>1.98</v>
      </c>
      <c r="G720" s="12">
        <v>1.7</v>
      </c>
      <c r="H720" s="9" t="s">
        <v>9</v>
      </c>
      <c r="I720" s="9" t="s">
        <v>10</v>
      </c>
      <c r="J720" s="9" t="s">
        <v>60</v>
      </c>
      <c r="K720"/>
      <c r="U720"/>
      <c r="V720"/>
    </row>
    <row r="721" spans="1:22" ht="18" hidden="1">
      <c r="A721" s="9">
        <f>IF(Table1[[#This Row],[کد کوپ]]&lt;1,0,A720+1)</f>
        <v>720</v>
      </c>
      <c r="B721" s="9">
        <v>47</v>
      </c>
      <c r="C721" s="10">
        <v>45676</v>
      </c>
      <c r="D721" s="11">
        <v>16.100000000000001</v>
      </c>
      <c r="E721" s="12">
        <v>1.95</v>
      </c>
      <c r="F721" s="12">
        <v>1.75</v>
      </c>
      <c r="G721" s="12">
        <v>1.7</v>
      </c>
      <c r="H721" s="9" t="s">
        <v>9</v>
      </c>
      <c r="I721" s="9" t="s">
        <v>10</v>
      </c>
      <c r="J721" s="9" t="s">
        <v>60</v>
      </c>
      <c r="K721"/>
      <c r="U721"/>
      <c r="V721"/>
    </row>
    <row r="722" spans="1:22" ht="18" hidden="1">
      <c r="A722" s="9">
        <f>IF(Table1[[#This Row],[کد کوپ]]&lt;1,0,A721+1)</f>
        <v>721</v>
      </c>
      <c r="B722" s="9">
        <v>48</v>
      </c>
      <c r="C722" s="10">
        <v>45676</v>
      </c>
      <c r="D722" s="11">
        <v>9.9</v>
      </c>
      <c r="E722" s="12">
        <v>2.2000000000000002</v>
      </c>
      <c r="F722" s="12">
        <v>1.7</v>
      </c>
      <c r="G722" s="12">
        <v>0.95</v>
      </c>
      <c r="H722" s="9" t="s">
        <v>9</v>
      </c>
      <c r="I722" s="9" t="s">
        <v>10</v>
      </c>
      <c r="J722" s="9" t="s">
        <v>60</v>
      </c>
      <c r="K722"/>
      <c r="U722"/>
      <c r="V722"/>
    </row>
    <row r="723" spans="1:22" ht="18" hidden="1">
      <c r="A723" s="9">
        <f>IF(Table1[[#This Row],[کد کوپ]]&lt;1,0,A722+1)</f>
        <v>722</v>
      </c>
      <c r="B723" s="9">
        <v>49</v>
      </c>
      <c r="C723" s="10">
        <v>45677</v>
      </c>
      <c r="D723" s="11">
        <v>11.8</v>
      </c>
      <c r="E723" s="12">
        <v>2.2799999999999998</v>
      </c>
      <c r="F723" s="12">
        <v>1.55</v>
      </c>
      <c r="G723" s="12">
        <v>1.25</v>
      </c>
      <c r="H723" s="9" t="s">
        <v>59</v>
      </c>
      <c r="I723" s="9" t="s">
        <v>10</v>
      </c>
      <c r="J723" s="9" t="s">
        <v>22</v>
      </c>
      <c r="K723"/>
      <c r="U723"/>
      <c r="V723"/>
    </row>
    <row r="724" spans="1:22" ht="18" hidden="1">
      <c r="A724" s="9">
        <f>IF(Table1[[#This Row],[کد کوپ]]&lt;1,0,A723+1)</f>
        <v>723</v>
      </c>
      <c r="B724" s="9">
        <v>50</v>
      </c>
      <c r="C724" s="10">
        <v>45677</v>
      </c>
      <c r="D724" s="11">
        <v>14.6</v>
      </c>
      <c r="E724" s="12">
        <v>3</v>
      </c>
      <c r="F724" s="12">
        <v>1.97</v>
      </c>
      <c r="G724" s="12">
        <v>0.95</v>
      </c>
      <c r="H724" s="9" t="s">
        <v>59</v>
      </c>
      <c r="I724" s="9" t="s">
        <v>10</v>
      </c>
      <c r="J724" s="9" t="s">
        <v>22</v>
      </c>
      <c r="K724"/>
      <c r="U724"/>
      <c r="V724"/>
    </row>
    <row r="725" spans="1:22" ht="18" hidden="1">
      <c r="A725" s="9">
        <f>IF(Table1[[#This Row],[کد کوپ]]&lt;1,0,A724+1)</f>
        <v>724</v>
      </c>
      <c r="B725" s="9">
        <v>51</v>
      </c>
      <c r="C725" s="10">
        <v>45677</v>
      </c>
      <c r="D725" s="11">
        <v>2.9</v>
      </c>
      <c r="E725" s="12">
        <v>1.5</v>
      </c>
      <c r="F725" s="12">
        <v>1.45</v>
      </c>
      <c r="G725" s="12">
        <v>0.5</v>
      </c>
      <c r="H725" s="9" t="s">
        <v>23</v>
      </c>
      <c r="I725" s="9" t="s">
        <v>24</v>
      </c>
      <c r="J725" s="9" t="s">
        <v>25</v>
      </c>
      <c r="K725"/>
      <c r="U725"/>
      <c r="V725"/>
    </row>
    <row r="726" spans="1:22" ht="18" hidden="1">
      <c r="A726" s="9">
        <f>IF(Table1[[#This Row],[کد کوپ]]&lt;1,0,A725+1)</f>
        <v>725</v>
      </c>
      <c r="B726" s="9">
        <v>52</v>
      </c>
      <c r="C726" s="10">
        <v>45677</v>
      </c>
      <c r="D726" s="11">
        <v>4.1500000000000004</v>
      </c>
      <c r="E726" s="12">
        <v>2</v>
      </c>
      <c r="F726" s="12">
        <v>1.65</v>
      </c>
      <c r="G726" s="12">
        <v>0.45</v>
      </c>
      <c r="H726" s="9" t="s">
        <v>23</v>
      </c>
      <c r="I726" s="9" t="s">
        <v>24</v>
      </c>
      <c r="J726" s="9" t="s">
        <v>25</v>
      </c>
      <c r="K726"/>
      <c r="U726"/>
      <c r="V726"/>
    </row>
    <row r="727" spans="1:22" ht="18" hidden="1">
      <c r="A727" s="9">
        <f>IF(Table1[[#This Row],[کد کوپ]]&lt;1,0,A726+1)</f>
        <v>726</v>
      </c>
      <c r="B727" s="9">
        <v>53</v>
      </c>
      <c r="C727" s="10">
        <v>45677</v>
      </c>
      <c r="D727" s="11">
        <v>1.9</v>
      </c>
      <c r="E727" s="12">
        <v>2.25</v>
      </c>
      <c r="F727" s="12">
        <v>1.57</v>
      </c>
      <c r="G727" s="12">
        <v>0.2</v>
      </c>
      <c r="H727" s="9" t="s">
        <v>23</v>
      </c>
      <c r="I727" s="9" t="s">
        <v>24</v>
      </c>
      <c r="J727" s="9" t="s">
        <v>25</v>
      </c>
      <c r="K727"/>
      <c r="U727"/>
      <c r="V727"/>
    </row>
    <row r="728" spans="1:22" ht="18" hidden="1">
      <c r="A728" s="9">
        <f>IF(Table1[[#This Row],[کد کوپ]]&lt;1,0,A727+1)</f>
        <v>727</v>
      </c>
      <c r="B728" s="9">
        <v>54</v>
      </c>
      <c r="C728" s="10">
        <v>45677</v>
      </c>
      <c r="D728" s="11">
        <v>5.6</v>
      </c>
      <c r="E728" s="12">
        <v>2.15</v>
      </c>
      <c r="F728" s="12">
        <v>2</v>
      </c>
      <c r="G728" s="12">
        <v>0.4</v>
      </c>
      <c r="H728" s="9" t="s">
        <v>23</v>
      </c>
      <c r="I728" s="9" t="s">
        <v>24</v>
      </c>
      <c r="J728" s="9" t="s">
        <v>25</v>
      </c>
      <c r="K728"/>
      <c r="U728"/>
      <c r="V728"/>
    </row>
    <row r="729" spans="1:22" ht="18" hidden="1">
      <c r="A729" s="9">
        <f>IF(Table1[[#This Row],[کد کوپ]]&lt;1,0,A728+1)</f>
        <v>728</v>
      </c>
      <c r="B729" s="9">
        <v>55</v>
      </c>
      <c r="C729" s="10">
        <v>45677</v>
      </c>
      <c r="D729" s="11">
        <v>2.1</v>
      </c>
      <c r="E729" s="12">
        <v>2.25</v>
      </c>
      <c r="F729" s="12">
        <v>1.5</v>
      </c>
      <c r="G729" s="12">
        <v>0.23</v>
      </c>
      <c r="H729" s="9" t="s">
        <v>23</v>
      </c>
      <c r="I729" s="9" t="s">
        <v>24</v>
      </c>
      <c r="J729" s="9" t="s">
        <v>25</v>
      </c>
      <c r="K729"/>
      <c r="U729"/>
      <c r="V729"/>
    </row>
    <row r="730" spans="1:22" ht="18" hidden="1">
      <c r="A730" s="9">
        <f>IF(Table1[[#This Row],[کد کوپ]]&lt;1,0,A729+1)</f>
        <v>729</v>
      </c>
      <c r="B730" s="9">
        <v>56</v>
      </c>
      <c r="C730" s="10">
        <v>45677</v>
      </c>
      <c r="D730" s="11">
        <v>5.15</v>
      </c>
      <c r="E730" s="12">
        <v>2</v>
      </c>
      <c r="F730" s="12">
        <v>1.95</v>
      </c>
      <c r="G730" s="12">
        <v>0.48</v>
      </c>
      <c r="H730" s="9" t="s">
        <v>23</v>
      </c>
      <c r="I730" s="9" t="s">
        <v>24</v>
      </c>
      <c r="J730" s="9" t="s">
        <v>25</v>
      </c>
      <c r="K730"/>
      <c r="U730"/>
      <c r="V730"/>
    </row>
    <row r="731" spans="1:22" ht="18" hidden="1">
      <c r="A731" s="9">
        <f>IF(Table1[[#This Row],[کد کوپ]]&lt;1,0,A730+1)</f>
        <v>730</v>
      </c>
      <c r="B731" s="9">
        <f>B730+1</f>
        <v>57</v>
      </c>
      <c r="C731" s="10">
        <v>45678</v>
      </c>
      <c r="D731" s="11">
        <v>14.324999999999999</v>
      </c>
      <c r="E731" s="12">
        <v>1.85</v>
      </c>
      <c r="F731" s="12">
        <v>1.65</v>
      </c>
      <c r="G731" s="12">
        <v>1.78</v>
      </c>
      <c r="H731" s="9" t="s">
        <v>9</v>
      </c>
      <c r="I731" s="9" t="s">
        <v>10</v>
      </c>
      <c r="J731" s="9" t="s">
        <v>60</v>
      </c>
      <c r="K731"/>
      <c r="U731"/>
      <c r="V731"/>
    </row>
    <row r="732" spans="1:22" ht="18" hidden="1">
      <c r="A732" s="9">
        <f>IF(Table1[[#This Row],[کد کوپ]]&lt;1,0,A731+1)</f>
        <v>731</v>
      </c>
      <c r="B732" s="9">
        <f>B731+1</f>
        <v>58</v>
      </c>
      <c r="C732" s="10">
        <v>45678</v>
      </c>
      <c r="D732" s="11">
        <v>11.02</v>
      </c>
      <c r="E732" s="12">
        <v>2</v>
      </c>
      <c r="F732" s="12">
        <v>1.8</v>
      </c>
      <c r="G732" s="12">
        <v>1.1499999999999999</v>
      </c>
      <c r="H732" s="9" t="s">
        <v>9</v>
      </c>
      <c r="I732" s="9" t="s">
        <v>10</v>
      </c>
      <c r="J732" s="9" t="s">
        <v>60</v>
      </c>
      <c r="K732"/>
      <c r="U732"/>
      <c r="V732"/>
    </row>
    <row r="733" spans="1:22" ht="18" hidden="1">
      <c r="A733" s="9">
        <f>IF(Table1[[#This Row],[کد کوپ]]&lt;1,0,A732+1)</f>
        <v>732</v>
      </c>
      <c r="B733" s="9">
        <f>B732+1</f>
        <v>59</v>
      </c>
      <c r="C733" s="10">
        <v>45678</v>
      </c>
      <c r="D733" s="11">
        <v>21</v>
      </c>
      <c r="E733" s="12">
        <v>3</v>
      </c>
      <c r="F733" s="12">
        <v>2.0499999999999998</v>
      </c>
      <c r="G733" s="12">
        <v>1.3</v>
      </c>
      <c r="H733" s="9" t="s">
        <v>59</v>
      </c>
      <c r="I733" s="9" t="s">
        <v>10</v>
      </c>
      <c r="J733" s="9" t="s">
        <v>60</v>
      </c>
      <c r="K733"/>
      <c r="U733"/>
      <c r="V733"/>
    </row>
    <row r="734" spans="1:22" ht="18" hidden="1">
      <c r="A734" s="9">
        <f>IF(Table1[[#This Row],[کد کوپ]]&lt;1,0,A733+1)</f>
        <v>733</v>
      </c>
      <c r="B734" s="9">
        <f>B733+1</f>
        <v>60</v>
      </c>
      <c r="C734" s="10">
        <v>45678</v>
      </c>
      <c r="D734" s="11">
        <v>13.3</v>
      </c>
      <c r="E734" s="12">
        <v>2.78</v>
      </c>
      <c r="F734" s="12">
        <v>2.02</v>
      </c>
      <c r="G734" s="12">
        <v>0.9</v>
      </c>
      <c r="H734" s="9" t="s">
        <v>59</v>
      </c>
      <c r="I734" s="9" t="s">
        <v>10</v>
      </c>
      <c r="J734" s="9" t="s">
        <v>22</v>
      </c>
      <c r="K734"/>
      <c r="U734"/>
      <c r="V734"/>
    </row>
    <row r="735" spans="1:22" ht="18" hidden="1">
      <c r="A735" s="9">
        <f>IF(Table1[[#This Row],[کد کوپ]]&lt;1,0,A734+1)</f>
        <v>734</v>
      </c>
      <c r="B735" s="9">
        <f t="shared" ref="B735:B790" si="0">B734+1</f>
        <v>61</v>
      </c>
      <c r="C735" s="10">
        <v>45678</v>
      </c>
      <c r="D735" s="11">
        <v>12.15</v>
      </c>
      <c r="E735" s="12">
        <v>2.8</v>
      </c>
      <c r="F735" s="12">
        <v>1.9</v>
      </c>
      <c r="G735" s="12">
        <v>0.87</v>
      </c>
      <c r="H735" s="9" t="s">
        <v>59</v>
      </c>
      <c r="I735" s="9" t="s">
        <v>10</v>
      </c>
      <c r="J735" s="9" t="s">
        <v>22</v>
      </c>
      <c r="K735"/>
      <c r="U735"/>
      <c r="V735"/>
    </row>
    <row r="736" spans="1:22" ht="18" hidden="1">
      <c r="A736" s="9">
        <f>IF(Table1[[#This Row],[کد کوپ]]&lt;1,0,A735+1)</f>
        <v>735</v>
      </c>
      <c r="B736" s="9">
        <f t="shared" si="0"/>
        <v>62</v>
      </c>
      <c r="C736" s="10">
        <v>45679</v>
      </c>
      <c r="D736" s="11">
        <v>20.7</v>
      </c>
      <c r="E736" s="12">
        <v>2.92</v>
      </c>
      <c r="F736" s="12">
        <v>1.96</v>
      </c>
      <c r="G736" s="12">
        <v>1.35</v>
      </c>
      <c r="H736" s="9" t="s">
        <v>36</v>
      </c>
      <c r="I736" s="9" t="s">
        <v>10</v>
      </c>
      <c r="J736" s="9" t="s">
        <v>88</v>
      </c>
      <c r="K736"/>
      <c r="U736"/>
      <c r="V736"/>
    </row>
    <row r="737" spans="1:22" ht="18" hidden="1">
      <c r="A737" s="9">
        <f>IF(Table1[[#This Row],[کد کوپ]]&lt;1,0,A736+1)</f>
        <v>736</v>
      </c>
      <c r="B737" s="9">
        <f t="shared" si="0"/>
        <v>63</v>
      </c>
      <c r="C737" s="10">
        <v>45679</v>
      </c>
      <c r="D737" s="11">
        <v>13.85</v>
      </c>
      <c r="E737" s="12">
        <v>3.05</v>
      </c>
      <c r="F737" s="12">
        <v>1.8</v>
      </c>
      <c r="G737" s="12">
        <v>0.93</v>
      </c>
      <c r="H737" s="9" t="s">
        <v>59</v>
      </c>
      <c r="I737" s="9" t="s">
        <v>10</v>
      </c>
      <c r="J737" s="9" t="s">
        <v>22</v>
      </c>
      <c r="K737"/>
      <c r="U737"/>
      <c r="V737"/>
    </row>
    <row r="738" spans="1:22" ht="18" hidden="1">
      <c r="A738" s="9">
        <f>IF(Table1[[#This Row],[کد کوپ]]&lt;1,0,A737+1)</f>
        <v>737</v>
      </c>
      <c r="B738" s="9">
        <f t="shared" si="0"/>
        <v>64</v>
      </c>
      <c r="C738" s="10">
        <v>45679</v>
      </c>
      <c r="D738" s="11">
        <v>11.3</v>
      </c>
      <c r="E738" s="12">
        <v>2.68</v>
      </c>
      <c r="F738" s="12">
        <v>1.6</v>
      </c>
      <c r="G738" s="12">
        <v>0.95</v>
      </c>
      <c r="H738" s="9" t="s">
        <v>59</v>
      </c>
      <c r="I738" s="9" t="s">
        <v>10</v>
      </c>
      <c r="J738" s="9" t="s">
        <v>22</v>
      </c>
      <c r="K738"/>
      <c r="U738"/>
      <c r="V738"/>
    </row>
    <row r="739" spans="1:22" ht="18" hidden="1">
      <c r="A739" s="9">
        <f>IF(Table1[[#This Row],[کد کوپ]]&lt;1,0,A738+1)</f>
        <v>738</v>
      </c>
      <c r="B739" s="9">
        <f t="shared" si="0"/>
        <v>65</v>
      </c>
      <c r="C739" s="10">
        <v>45681</v>
      </c>
      <c r="D739" s="11">
        <v>21.7</v>
      </c>
      <c r="E739" s="12">
        <v>3</v>
      </c>
      <c r="F739" s="12">
        <v>1.96</v>
      </c>
      <c r="G739" s="12">
        <v>1.4</v>
      </c>
      <c r="H739" s="9" t="s">
        <v>59</v>
      </c>
      <c r="I739" s="9" t="s">
        <v>10</v>
      </c>
      <c r="J739" s="9" t="s">
        <v>60</v>
      </c>
      <c r="K739"/>
      <c r="U739"/>
      <c r="V739"/>
    </row>
    <row r="740" spans="1:22" ht="18" hidden="1">
      <c r="A740" s="9">
        <f>IF(Table1[[#This Row],[کد کوپ]]&lt;1,0,A739+1)</f>
        <v>739</v>
      </c>
      <c r="B740" s="9">
        <f t="shared" si="0"/>
        <v>66</v>
      </c>
      <c r="C740" s="10">
        <v>45681</v>
      </c>
      <c r="D740" s="11">
        <v>21.8</v>
      </c>
      <c r="E740" s="12">
        <v>2.97</v>
      </c>
      <c r="F740" s="12">
        <v>1.95</v>
      </c>
      <c r="G740" s="12">
        <v>1.35</v>
      </c>
      <c r="H740" s="9" t="s">
        <v>59</v>
      </c>
      <c r="I740" s="9" t="s">
        <v>10</v>
      </c>
      <c r="J740" s="9" t="s">
        <v>60</v>
      </c>
      <c r="K740"/>
      <c r="U740"/>
      <c r="V740"/>
    </row>
    <row r="741" spans="1:22" ht="18" hidden="1">
      <c r="A741" s="9">
        <f>IF(Table1[[#This Row],[کد کوپ]]&lt;1,0,A740+1)</f>
        <v>740</v>
      </c>
      <c r="B741" s="9">
        <f t="shared" si="0"/>
        <v>67</v>
      </c>
      <c r="C741" s="10">
        <v>45681</v>
      </c>
      <c r="D741" s="11">
        <v>23.265000000000001</v>
      </c>
      <c r="E741" s="12">
        <v>3.08</v>
      </c>
      <c r="F741" s="12">
        <v>1.92</v>
      </c>
      <c r="G741" s="12">
        <v>1.45</v>
      </c>
      <c r="H741" s="9" t="s">
        <v>59</v>
      </c>
      <c r="I741" s="9" t="s">
        <v>10</v>
      </c>
      <c r="J741" s="9" t="s">
        <v>60</v>
      </c>
      <c r="K741"/>
      <c r="U741"/>
      <c r="V741"/>
    </row>
    <row r="742" spans="1:22" ht="18" hidden="1">
      <c r="A742" s="9">
        <f>IF(Table1[[#This Row],[کد کوپ]]&lt;1,0,A741+1)</f>
        <v>741</v>
      </c>
      <c r="B742" s="9">
        <f t="shared" si="0"/>
        <v>68</v>
      </c>
      <c r="C742" s="10">
        <v>45681</v>
      </c>
      <c r="D742" s="11">
        <v>21.55</v>
      </c>
      <c r="E742" s="12">
        <v>2.7</v>
      </c>
      <c r="F742" s="12">
        <v>2</v>
      </c>
      <c r="G742" s="12">
        <v>1.5</v>
      </c>
      <c r="H742" s="9" t="s">
        <v>59</v>
      </c>
      <c r="I742" s="9" t="s">
        <v>10</v>
      </c>
      <c r="J742" s="9" t="s">
        <v>60</v>
      </c>
      <c r="K742"/>
      <c r="U742"/>
      <c r="V742"/>
    </row>
    <row r="743" spans="1:22" ht="18" hidden="1">
      <c r="A743" s="9">
        <f>IF(Table1[[#This Row],[کد کوپ]]&lt;1,0,A742+1)</f>
        <v>742</v>
      </c>
      <c r="B743" s="9">
        <f t="shared" si="0"/>
        <v>69</v>
      </c>
      <c r="C743" s="10">
        <v>45681</v>
      </c>
      <c r="D743" s="11">
        <v>20.96</v>
      </c>
      <c r="E743" s="12">
        <v>3</v>
      </c>
      <c r="F743" s="12">
        <v>1.96</v>
      </c>
      <c r="G743" s="12">
        <v>1.35</v>
      </c>
      <c r="H743" s="9" t="s">
        <v>59</v>
      </c>
      <c r="I743" s="9" t="s">
        <v>10</v>
      </c>
      <c r="J743" s="9" t="s">
        <v>60</v>
      </c>
      <c r="K743"/>
      <c r="U743"/>
      <c r="V743"/>
    </row>
    <row r="744" spans="1:22" ht="18" hidden="1">
      <c r="A744" s="9">
        <f>IF(Table1[[#This Row],[کد کوپ]]&lt;1,0,A743+1)</f>
        <v>743</v>
      </c>
      <c r="B744" s="9">
        <f t="shared" si="0"/>
        <v>70</v>
      </c>
      <c r="C744" s="10">
        <v>45681</v>
      </c>
      <c r="D744" s="11">
        <v>16.559999999999999</v>
      </c>
      <c r="E744" s="15">
        <v>3.05</v>
      </c>
      <c r="F744" s="12">
        <v>1.85</v>
      </c>
      <c r="G744" s="12">
        <v>1.17</v>
      </c>
      <c r="H744" s="9" t="s">
        <v>9</v>
      </c>
      <c r="I744" s="9" t="s">
        <v>10</v>
      </c>
      <c r="J744" s="9" t="s">
        <v>60</v>
      </c>
      <c r="K744"/>
      <c r="U744"/>
      <c r="V744"/>
    </row>
    <row r="745" spans="1:22" ht="18" hidden="1">
      <c r="A745" s="9">
        <f>IF(Table1[[#This Row],[کد کوپ]]&lt;1,0,A744+1)</f>
        <v>744</v>
      </c>
      <c r="B745" s="9">
        <f t="shared" si="0"/>
        <v>71</v>
      </c>
      <c r="C745" s="10">
        <v>45681</v>
      </c>
      <c r="D745" s="11">
        <v>6.8</v>
      </c>
      <c r="E745" s="15">
        <v>2.1</v>
      </c>
      <c r="F745" s="12">
        <v>1.48</v>
      </c>
      <c r="G745" s="12">
        <v>0.8</v>
      </c>
      <c r="H745" s="9" t="s">
        <v>9</v>
      </c>
      <c r="I745" s="9" t="s">
        <v>10</v>
      </c>
      <c r="J745" s="9" t="s">
        <v>60</v>
      </c>
      <c r="K745"/>
      <c r="U745"/>
      <c r="V745"/>
    </row>
    <row r="746" spans="1:22" ht="18" hidden="1">
      <c r="A746" s="9">
        <f>IF(Table1[[#This Row],[کد کوپ]]&lt;1,0,A745+1)</f>
        <v>745</v>
      </c>
      <c r="B746" s="9">
        <f t="shared" si="0"/>
        <v>72</v>
      </c>
      <c r="C746" s="10">
        <v>45683</v>
      </c>
      <c r="D746" s="11">
        <v>13.4</v>
      </c>
      <c r="E746" s="15">
        <v>2.65</v>
      </c>
      <c r="F746" s="12">
        <v>1.95</v>
      </c>
      <c r="G746" s="12">
        <v>0.95</v>
      </c>
      <c r="H746" s="9" t="s">
        <v>59</v>
      </c>
      <c r="I746" s="9" t="s">
        <v>10</v>
      </c>
      <c r="J746" s="9" t="s">
        <v>22</v>
      </c>
      <c r="K746"/>
      <c r="U746"/>
      <c r="V746"/>
    </row>
    <row r="747" spans="1:22" ht="18" hidden="1">
      <c r="A747" s="9">
        <f>IF(Table1[[#This Row],[کد کوپ]]&lt;1,0,A746+1)</f>
        <v>746</v>
      </c>
      <c r="B747" s="9">
        <f t="shared" si="0"/>
        <v>73</v>
      </c>
      <c r="C747" s="10">
        <v>45683</v>
      </c>
      <c r="D747" s="11">
        <v>15.2</v>
      </c>
      <c r="E747" s="15">
        <v>2.6</v>
      </c>
      <c r="F747" s="12">
        <v>1.97</v>
      </c>
      <c r="G747" s="12">
        <v>1.1000000000000001</v>
      </c>
      <c r="H747" s="9" t="s">
        <v>59</v>
      </c>
      <c r="I747" s="9" t="s">
        <v>10</v>
      </c>
      <c r="J747" s="9" t="s">
        <v>22</v>
      </c>
      <c r="K747"/>
      <c r="U747"/>
      <c r="V747"/>
    </row>
    <row r="748" spans="1:22" ht="18" hidden="1">
      <c r="A748" s="9">
        <f>IF(Table1[[#This Row],[کد کوپ]]&lt;1,0,A747+1)</f>
        <v>747</v>
      </c>
      <c r="B748" s="9">
        <f t="shared" si="0"/>
        <v>74</v>
      </c>
      <c r="C748" s="10">
        <v>45683</v>
      </c>
      <c r="D748" s="11">
        <v>21.1</v>
      </c>
      <c r="E748" s="12">
        <v>2.25</v>
      </c>
      <c r="F748" s="12">
        <v>2.0499999999999998</v>
      </c>
      <c r="G748" s="12">
        <v>1.7</v>
      </c>
      <c r="H748" s="9" t="s">
        <v>59</v>
      </c>
      <c r="I748" s="9" t="s">
        <v>10</v>
      </c>
      <c r="J748" s="9" t="s">
        <v>60</v>
      </c>
      <c r="K748"/>
      <c r="U748"/>
      <c r="V748"/>
    </row>
    <row r="749" spans="1:22" ht="18" hidden="1">
      <c r="A749" s="9">
        <f>IF(Table1[[#This Row],[کد کوپ]]&lt;1,0,A748+1)</f>
        <v>748</v>
      </c>
      <c r="B749" s="9">
        <f t="shared" si="0"/>
        <v>75</v>
      </c>
      <c r="C749" s="10">
        <v>45683</v>
      </c>
      <c r="D749" s="11">
        <v>21.75</v>
      </c>
      <c r="E749" s="15">
        <v>3.07</v>
      </c>
      <c r="F749" s="12">
        <v>1.97</v>
      </c>
      <c r="G749" s="12">
        <v>1.4</v>
      </c>
      <c r="H749" s="9" t="s">
        <v>59</v>
      </c>
      <c r="I749" s="9" t="s">
        <v>10</v>
      </c>
      <c r="J749" s="9" t="s">
        <v>60</v>
      </c>
      <c r="K749"/>
      <c r="U749"/>
      <c r="V749"/>
    </row>
    <row r="750" spans="1:22" ht="18" hidden="1">
      <c r="A750" s="9">
        <f>IF(Table1[[#This Row],[کد کوپ]]&lt;1,0,A749+1)</f>
        <v>749</v>
      </c>
      <c r="B750" s="9">
        <f t="shared" si="0"/>
        <v>76</v>
      </c>
      <c r="C750" s="10">
        <v>45683</v>
      </c>
      <c r="D750" s="11">
        <v>14.4</v>
      </c>
      <c r="E750" s="15">
        <v>2.9</v>
      </c>
      <c r="F750" s="12">
        <v>1.9</v>
      </c>
      <c r="G750" s="12">
        <v>1.05</v>
      </c>
      <c r="H750" s="9" t="s">
        <v>85</v>
      </c>
      <c r="I750" s="9" t="s">
        <v>10</v>
      </c>
      <c r="J750" s="9" t="s">
        <v>89</v>
      </c>
      <c r="K750"/>
      <c r="U750"/>
      <c r="V750"/>
    </row>
    <row r="751" spans="1:22" ht="18" hidden="1">
      <c r="A751" s="9">
        <f>IF(Table1[[#This Row],[کد کوپ]]&lt;1,0,A750+1)</f>
        <v>750</v>
      </c>
      <c r="B751" s="9">
        <f t="shared" si="0"/>
        <v>77</v>
      </c>
      <c r="C751" s="10">
        <v>45683</v>
      </c>
      <c r="D751" s="11">
        <v>10</v>
      </c>
      <c r="E751" s="15">
        <v>27</v>
      </c>
      <c r="F751" s="12">
        <v>1.85</v>
      </c>
      <c r="G751" s="12">
        <v>0.8</v>
      </c>
      <c r="H751" s="9" t="s">
        <v>85</v>
      </c>
      <c r="I751" s="9" t="s">
        <v>10</v>
      </c>
      <c r="J751" s="9" t="s">
        <v>89</v>
      </c>
      <c r="K751"/>
      <c r="U751"/>
      <c r="V751"/>
    </row>
    <row r="752" spans="1:22" ht="18" hidden="1">
      <c r="A752" s="9">
        <f>IF(Table1[[#This Row],[کد کوپ]]&lt;1,0,A751+1)</f>
        <v>751</v>
      </c>
      <c r="B752" s="9">
        <f t="shared" si="0"/>
        <v>78</v>
      </c>
      <c r="C752" s="10">
        <v>45684</v>
      </c>
      <c r="D752" s="11">
        <v>6.9</v>
      </c>
      <c r="E752" s="15">
        <v>2</v>
      </c>
      <c r="F752" s="12">
        <v>1.3</v>
      </c>
      <c r="G752" s="12">
        <v>1.05</v>
      </c>
      <c r="H752" s="9" t="s">
        <v>59</v>
      </c>
      <c r="I752" s="9" t="s">
        <v>10</v>
      </c>
      <c r="J752" s="9" t="s">
        <v>22</v>
      </c>
      <c r="K752"/>
      <c r="U752"/>
      <c r="V752"/>
    </row>
    <row r="753" spans="1:22" ht="18" hidden="1">
      <c r="A753" s="9">
        <f>IF(Table1[[#This Row],[کد کوپ]]&lt;1,0,A752+1)</f>
        <v>752</v>
      </c>
      <c r="B753" s="9">
        <f t="shared" si="0"/>
        <v>79</v>
      </c>
      <c r="C753" s="10">
        <v>45684</v>
      </c>
      <c r="D753" s="11">
        <v>19</v>
      </c>
      <c r="E753" s="15">
        <v>2.6</v>
      </c>
      <c r="F753" s="12">
        <v>1.96</v>
      </c>
      <c r="G753" s="12">
        <v>1.4</v>
      </c>
      <c r="H753" s="9" t="s">
        <v>59</v>
      </c>
      <c r="I753" s="9" t="s">
        <v>10</v>
      </c>
      <c r="J753" s="9" t="s">
        <v>22</v>
      </c>
      <c r="K753"/>
      <c r="U753"/>
      <c r="V753"/>
    </row>
    <row r="754" spans="1:22" ht="18" hidden="1">
      <c r="A754" s="9">
        <f>IF(Table1[[#This Row],[کد کوپ]]&lt;1,0,A753+1)</f>
        <v>753</v>
      </c>
      <c r="B754" s="9">
        <f t="shared" si="0"/>
        <v>80</v>
      </c>
      <c r="C754" s="10">
        <v>45684</v>
      </c>
      <c r="D754" s="11">
        <v>21.4</v>
      </c>
      <c r="E754" s="15">
        <v>3.18</v>
      </c>
      <c r="F754" s="12">
        <v>1.78</v>
      </c>
      <c r="G754" s="12">
        <v>1.38</v>
      </c>
      <c r="H754" s="9" t="s">
        <v>85</v>
      </c>
      <c r="I754" s="9" t="s">
        <v>10</v>
      </c>
      <c r="J754" s="9" t="s">
        <v>90</v>
      </c>
      <c r="K754"/>
      <c r="U754"/>
      <c r="V754"/>
    </row>
    <row r="755" spans="1:22" ht="18" hidden="1">
      <c r="A755" s="9">
        <f>IF(Table1[[#This Row],[کد کوپ]]&lt;1,0,A754+1)</f>
        <v>754</v>
      </c>
      <c r="B755" s="9">
        <f t="shared" si="0"/>
        <v>81</v>
      </c>
      <c r="C755" s="10">
        <v>45684</v>
      </c>
      <c r="D755" s="11">
        <v>15.85</v>
      </c>
      <c r="E755" s="15">
        <v>3.12</v>
      </c>
      <c r="F755" s="12">
        <v>2.02</v>
      </c>
      <c r="G755" s="12">
        <v>0.98</v>
      </c>
      <c r="H755" s="9" t="s">
        <v>59</v>
      </c>
      <c r="I755" s="9" t="s">
        <v>10</v>
      </c>
      <c r="J755" s="9" t="s">
        <v>22</v>
      </c>
      <c r="K755"/>
      <c r="U755"/>
      <c r="V755"/>
    </row>
    <row r="756" spans="1:22" ht="18" hidden="1">
      <c r="A756" s="9">
        <f>IF(Table1[[#This Row],[کد کوپ]]&lt;1,0,A755+1)</f>
        <v>755</v>
      </c>
      <c r="B756" s="9">
        <f t="shared" si="0"/>
        <v>82</v>
      </c>
      <c r="C756" s="10">
        <v>45684</v>
      </c>
      <c r="D756" s="11">
        <v>10.3</v>
      </c>
      <c r="E756" s="15">
        <v>2.6</v>
      </c>
      <c r="F756" s="12">
        <v>1.57</v>
      </c>
      <c r="G756" s="12">
        <v>0.97</v>
      </c>
      <c r="H756" s="9" t="s">
        <v>59</v>
      </c>
      <c r="I756" s="9" t="s">
        <v>10</v>
      </c>
      <c r="J756" s="9" t="s">
        <v>22</v>
      </c>
      <c r="K756"/>
      <c r="U756"/>
      <c r="V756"/>
    </row>
    <row r="757" spans="1:22" ht="18" hidden="1">
      <c r="A757" s="9">
        <f>IF(Table1[[#This Row],[کد کوپ]]&lt;1,0,A756+1)</f>
        <v>756</v>
      </c>
      <c r="B757" s="9">
        <f t="shared" si="0"/>
        <v>83</v>
      </c>
      <c r="C757" s="10">
        <v>45684</v>
      </c>
      <c r="D757" s="11">
        <v>19.7</v>
      </c>
      <c r="E757" s="15">
        <v>2.6</v>
      </c>
      <c r="F757" s="12">
        <v>1.74</v>
      </c>
      <c r="G757" s="12">
        <v>1.6</v>
      </c>
      <c r="H757" s="9" t="s">
        <v>85</v>
      </c>
      <c r="I757" s="9" t="s">
        <v>10</v>
      </c>
      <c r="J757" s="9" t="s">
        <v>90</v>
      </c>
      <c r="K757"/>
      <c r="U757"/>
      <c r="V757"/>
    </row>
    <row r="758" spans="1:22" ht="18" hidden="1">
      <c r="A758" s="9">
        <f>IF(Table1[[#This Row],[کد کوپ]]&lt;1,0,A757+1)</f>
        <v>757</v>
      </c>
      <c r="B758" s="9">
        <f t="shared" si="0"/>
        <v>84</v>
      </c>
      <c r="C758" s="10">
        <v>45684</v>
      </c>
      <c r="D758" s="11">
        <v>15.15</v>
      </c>
      <c r="E758" s="15">
        <v>1.7</v>
      </c>
      <c r="F758" s="12">
        <v>1.08</v>
      </c>
      <c r="G758" s="12">
        <v>1.05</v>
      </c>
      <c r="H758" s="9" t="s">
        <v>85</v>
      </c>
      <c r="I758" s="9" t="s">
        <v>10</v>
      </c>
      <c r="J758" s="9" t="s">
        <v>90</v>
      </c>
      <c r="K758"/>
      <c r="U758"/>
      <c r="V758"/>
    </row>
    <row r="759" spans="1:22" ht="18" hidden="1">
      <c r="A759" s="9">
        <f>IF(Table1[[#This Row],[کد کوپ]]&lt;1,0,A758+1)</f>
        <v>758</v>
      </c>
      <c r="B759" s="9">
        <f t="shared" si="0"/>
        <v>85</v>
      </c>
      <c r="C759" s="10">
        <v>45684</v>
      </c>
      <c r="D759" s="11">
        <v>13</v>
      </c>
      <c r="E759" s="15">
        <v>2.58</v>
      </c>
      <c r="F759" s="12">
        <v>2.02</v>
      </c>
      <c r="G759" s="12">
        <v>1.9</v>
      </c>
      <c r="H759" s="9" t="s">
        <v>59</v>
      </c>
      <c r="I759" s="9" t="s">
        <v>10</v>
      </c>
      <c r="J759" s="9" t="s">
        <v>22</v>
      </c>
      <c r="K759"/>
      <c r="U759"/>
      <c r="V759"/>
    </row>
    <row r="760" spans="1:22" ht="18" hidden="1">
      <c r="A760" s="9">
        <f>IF(Table1[[#This Row],[کد کوپ]]&lt;1,0,A759+1)</f>
        <v>759</v>
      </c>
      <c r="B760" s="9">
        <f t="shared" si="0"/>
        <v>86</v>
      </c>
      <c r="C760" s="10">
        <v>45684</v>
      </c>
      <c r="D760" s="11">
        <v>13.3</v>
      </c>
      <c r="E760" s="15">
        <v>2.8</v>
      </c>
      <c r="F760" s="12">
        <v>1.5</v>
      </c>
      <c r="G760" s="12">
        <v>1.2</v>
      </c>
      <c r="H760" s="9" t="s">
        <v>59</v>
      </c>
      <c r="I760" s="9" t="s">
        <v>10</v>
      </c>
      <c r="J760" s="9" t="s">
        <v>22</v>
      </c>
      <c r="K760"/>
      <c r="U760"/>
      <c r="V760"/>
    </row>
    <row r="761" spans="1:22" ht="18" hidden="1">
      <c r="A761" s="9">
        <f>IF(Table1[[#This Row],[کد کوپ]]&lt;1,0,A760+1)</f>
        <v>760</v>
      </c>
      <c r="B761" s="9">
        <f t="shared" si="0"/>
        <v>87</v>
      </c>
      <c r="C761" s="10">
        <v>45686</v>
      </c>
      <c r="D761" s="11">
        <v>9.75</v>
      </c>
      <c r="E761" s="15">
        <v>2.5</v>
      </c>
      <c r="F761" s="12">
        <v>1.6</v>
      </c>
      <c r="G761" s="12">
        <v>0.92</v>
      </c>
      <c r="H761" s="9" t="s">
        <v>59</v>
      </c>
      <c r="I761" s="9" t="s">
        <v>10</v>
      </c>
      <c r="J761" s="9" t="s">
        <v>22</v>
      </c>
      <c r="K761"/>
      <c r="U761"/>
      <c r="V761"/>
    </row>
    <row r="762" spans="1:22" ht="18" hidden="1">
      <c r="A762" s="9">
        <f>IF(Table1[[#This Row],[کد کوپ]]&lt;1,0,A761+1)</f>
        <v>761</v>
      </c>
      <c r="B762" s="9">
        <f t="shared" si="0"/>
        <v>88</v>
      </c>
      <c r="C762" s="10">
        <v>45686</v>
      </c>
      <c r="D762" s="11">
        <v>17.899999999999999</v>
      </c>
      <c r="E762" s="15">
        <v>3.1</v>
      </c>
      <c r="F762" s="12">
        <v>1.7</v>
      </c>
      <c r="G762" s="12">
        <v>1.23</v>
      </c>
      <c r="H762" s="9" t="s">
        <v>59</v>
      </c>
      <c r="I762" s="9" t="s">
        <v>10</v>
      </c>
      <c r="J762" s="9" t="s">
        <v>22</v>
      </c>
      <c r="K762"/>
      <c r="U762"/>
      <c r="V762"/>
    </row>
    <row r="763" spans="1:22" ht="18" hidden="1">
      <c r="A763" s="9">
        <f>IF(Table1[[#This Row],[کد کوپ]]&lt;1,0,A762+1)</f>
        <v>762</v>
      </c>
      <c r="B763" s="9">
        <f t="shared" si="0"/>
        <v>89</v>
      </c>
      <c r="C763" s="10">
        <v>45686</v>
      </c>
      <c r="D763" s="11">
        <v>12.9</v>
      </c>
      <c r="E763" s="15">
        <v>3.11</v>
      </c>
      <c r="F763" s="12">
        <v>2.0099999999999998</v>
      </c>
      <c r="G763" s="12">
        <v>0.7</v>
      </c>
      <c r="H763" s="9" t="s">
        <v>59</v>
      </c>
      <c r="I763" s="9" t="s">
        <v>10</v>
      </c>
      <c r="J763" s="9" t="s">
        <v>22</v>
      </c>
      <c r="K763"/>
      <c r="U763"/>
      <c r="V763"/>
    </row>
    <row r="764" spans="1:22" ht="18" hidden="1">
      <c r="A764" s="9">
        <f>IF(Table1[[#This Row],[کد کوپ]]&lt;1,0,A763+1)</f>
        <v>763</v>
      </c>
      <c r="B764" s="9">
        <f t="shared" si="0"/>
        <v>90</v>
      </c>
      <c r="C764" s="10">
        <v>45686</v>
      </c>
      <c r="D764" s="11">
        <v>13.5</v>
      </c>
      <c r="E764" s="15">
        <v>2.8</v>
      </c>
      <c r="F764" s="12">
        <v>1.4</v>
      </c>
      <c r="G764" s="12">
        <v>1.25</v>
      </c>
      <c r="H764" s="9" t="s">
        <v>59</v>
      </c>
      <c r="I764" s="9" t="s">
        <v>10</v>
      </c>
      <c r="J764" s="9" t="s">
        <v>22</v>
      </c>
      <c r="K764"/>
      <c r="U764"/>
      <c r="V764"/>
    </row>
    <row r="765" spans="1:22" ht="18" hidden="1">
      <c r="A765" s="9">
        <f>IF(Table1[[#This Row],[کد کوپ]]&lt;1,0,A764+1)</f>
        <v>764</v>
      </c>
      <c r="B765" s="9">
        <f t="shared" si="0"/>
        <v>91</v>
      </c>
      <c r="C765" s="10">
        <v>45687</v>
      </c>
      <c r="D765" s="16">
        <v>7.8</v>
      </c>
      <c r="E765" s="12">
        <v>2.77</v>
      </c>
      <c r="F765" s="12">
        <v>1.22</v>
      </c>
      <c r="G765" s="12">
        <v>0.87</v>
      </c>
      <c r="H765" s="9" t="s">
        <v>59</v>
      </c>
      <c r="I765" s="9" t="s">
        <v>10</v>
      </c>
      <c r="J765" s="9" t="s">
        <v>22</v>
      </c>
      <c r="K765"/>
      <c r="U765"/>
      <c r="V765"/>
    </row>
    <row r="766" spans="1:22" ht="18" hidden="1">
      <c r="A766" s="9">
        <f>IF(Table1[[#This Row],[کد کوپ]]&lt;1,0,A765+1)</f>
        <v>765</v>
      </c>
      <c r="B766" s="9">
        <f t="shared" si="0"/>
        <v>92</v>
      </c>
      <c r="C766" s="10">
        <v>45687</v>
      </c>
      <c r="D766" s="11">
        <v>21.2</v>
      </c>
      <c r="E766" s="15">
        <v>3.15</v>
      </c>
      <c r="F766" s="12">
        <v>2.1</v>
      </c>
      <c r="G766" s="12">
        <v>1.1499999999999999</v>
      </c>
      <c r="H766" s="9" t="s">
        <v>59</v>
      </c>
      <c r="I766" s="9" t="s">
        <v>10</v>
      </c>
      <c r="J766" s="9" t="s">
        <v>22</v>
      </c>
      <c r="K766"/>
      <c r="U766"/>
      <c r="V766"/>
    </row>
    <row r="767" spans="1:22" ht="18" hidden="1">
      <c r="A767" s="9">
        <f>IF(Table1[[#This Row],[کد کوپ]]&lt;1,0,A766+1)</f>
        <v>766</v>
      </c>
      <c r="B767" s="9">
        <f t="shared" si="0"/>
        <v>93</v>
      </c>
      <c r="C767" s="10">
        <v>45688</v>
      </c>
      <c r="D767" s="11">
        <v>21.57</v>
      </c>
      <c r="E767" s="15">
        <v>2.35</v>
      </c>
      <c r="F767" s="12">
        <v>2.1</v>
      </c>
      <c r="G767" s="12">
        <v>2</v>
      </c>
      <c r="H767" s="9" t="s">
        <v>36</v>
      </c>
      <c r="I767" s="9" t="s">
        <v>34</v>
      </c>
      <c r="J767" s="9" t="s">
        <v>91</v>
      </c>
      <c r="K767"/>
      <c r="U767"/>
      <c r="V767"/>
    </row>
    <row r="768" spans="1:22" ht="18" hidden="1">
      <c r="A768" s="9">
        <f>IF(Table1[[#This Row],[کد کوپ]]&lt;1,0,A767+1)</f>
        <v>767</v>
      </c>
      <c r="B768" s="9">
        <f t="shared" si="0"/>
        <v>94</v>
      </c>
      <c r="C768" s="10">
        <v>45688</v>
      </c>
      <c r="D768" s="11">
        <v>16.3</v>
      </c>
      <c r="E768" s="15">
        <v>2.75</v>
      </c>
      <c r="F768" s="12">
        <v>1.92</v>
      </c>
      <c r="G768" s="12">
        <v>1.35</v>
      </c>
      <c r="H768" s="9" t="s">
        <v>36</v>
      </c>
      <c r="I768" s="9" t="s">
        <v>34</v>
      </c>
      <c r="J768" s="9" t="s">
        <v>91</v>
      </c>
      <c r="K768"/>
      <c r="U768"/>
      <c r="V768"/>
    </row>
    <row r="769" spans="1:22" ht="18" hidden="1">
      <c r="A769" s="9">
        <f>IF(Table1[[#This Row],[کد کوپ]]&lt;1,0,A768+1)</f>
        <v>768</v>
      </c>
      <c r="B769" s="9">
        <f t="shared" si="0"/>
        <v>95</v>
      </c>
      <c r="C769" s="10">
        <v>45688</v>
      </c>
      <c r="D769" s="11">
        <v>15.35</v>
      </c>
      <c r="E769" s="15">
        <v>2.5</v>
      </c>
      <c r="F769" s="12">
        <v>1.1399999999999999</v>
      </c>
      <c r="G769" s="12">
        <v>1.25</v>
      </c>
      <c r="H769" s="9" t="s">
        <v>36</v>
      </c>
      <c r="I769" s="9" t="s">
        <v>34</v>
      </c>
      <c r="J769" s="9" t="s">
        <v>91</v>
      </c>
      <c r="K769"/>
      <c r="U769"/>
      <c r="V769"/>
    </row>
    <row r="770" spans="1:22" ht="18" hidden="1">
      <c r="A770" s="9">
        <f>IF(Table1[[#This Row],[کد کوپ]]&lt;1,0,A769+1)</f>
        <v>769</v>
      </c>
      <c r="B770" s="9">
        <f t="shared" si="0"/>
        <v>96</v>
      </c>
      <c r="C770" s="10">
        <v>45688</v>
      </c>
      <c r="D770" s="11">
        <v>15</v>
      </c>
      <c r="E770" s="15">
        <v>2.4500000000000002</v>
      </c>
      <c r="F770" s="12">
        <v>1.75</v>
      </c>
      <c r="G770" s="12">
        <v>1.35</v>
      </c>
      <c r="H770" s="9" t="s">
        <v>36</v>
      </c>
      <c r="I770" s="9" t="s">
        <v>34</v>
      </c>
      <c r="J770" s="9" t="s">
        <v>91</v>
      </c>
      <c r="K770"/>
      <c r="U770"/>
      <c r="V770"/>
    </row>
    <row r="771" spans="1:22" ht="18" hidden="1">
      <c r="A771" s="9">
        <f>IF(Table1[[#This Row],[کد کوپ]]&lt;1,0,A770+1)</f>
        <v>770</v>
      </c>
      <c r="B771" s="9">
        <f t="shared" si="0"/>
        <v>97</v>
      </c>
      <c r="C771" s="10">
        <v>45688</v>
      </c>
      <c r="D771" s="11">
        <v>19.399999999999999</v>
      </c>
      <c r="E771" s="15">
        <v>2.7</v>
      </c>
      <c r="F771" s="12">
        <v>2.0299999999999998</v>
      </c>
      <c r="G771" s="12">
        <v>1.45</v>
      </c>
      <c r="H771" s="9" t="s">
        <v>36</v>
      </c>
      <c r="I771" s="9" t="s">
        <v>34</v>
      </c>
      <c r="J771" s="9" t="s">
        <v>91</v>
      </c>
      <c r="K771"/>
      <c r="U771"/>
      <c r="V771"/>
    </row>
    <row r="772" spans="1:22" ht="18" hidden="1">
      <c r="A772" s="9">
        <f>IF(Table1[[#This Row],[کد کوپ]]&lt;1,0,A771+1)</f>
        <v>771</v>
      </c>
      <c r="B772" s="9">
        <f t="shared" si="0"/>
        <v>98</v>
      </c>
      <c r="C772" s="10">
        <v>45688</v>
      </c>
      <c r="D772" s="11">
        <v>14.4</v>
      </c>
      <c r="E772" s="15">
        <v>4</v>
      </c>
      <c r="F772" s="12">
        <v>1.98</v>
      </c>
      <c r="G772" s="12">
        <v>0.93</v>
      </c>
      <c r="H772" s="9" t="s">
        <v>36</v>
      </c>
      <c r="I772" s="9" t="s">
        <v>34</v>
      </c>
      <c r="J772" s="9" t="s">
        <v>91</v>
      </c>
      <c r="K772"/>
      <c r="U772"/>
      <c r="V772"/>
    </row>
    <row r="773" spans="1:22" ht="18" hidden="1">
      <c r="A773" s="9">
        <f>IF(Table1[[#This Row],[کد کوپ]]&lt;1,0,A772+1)</f>
        <v>772</v>
      </c>
      <c r="B773" s="9">
        <f t="shared" si="0"/>
        <v>99</v>
      </c>
      <c r="C773" s="10">
        <v>45688</v>
      </c>
      <c r="D773" s="17">
        <v>15.85</v>
      </c>
      <c r="E773" s="12">
        <v>2.15</v>
      </c>
      <c r="F773" s="12">
        <v>1.8</v>
      </c>
      <c r="G773" s="12">
        <v>1.5</v>
      </c>
      <c r="H773" s="9" t="s">
        <v>36</v>
      </c>
      <c r="I773" s="9" t="s">
        <v>34</v>
      </c>
      <c r="J773" s="9" t="s">
        <v>91</v>
      </c>
      <c r="K773"/>
      <c r="U773"/>
      <c r="V773"/>
    </row>
    <row r="774" spans="1:22" ht="18" hidden="1">
      <c r="A774" s="9">
        <f>IF(Table1[[#This Row],[کد کوپ]]&lt;1,0,A773+1)</f>
        <v>773</v>
      </c>
      <c r="B774" s="9">
        <f t="shared" si="0"/>
        <v>100</v>
      </c>
      <c r="C774" s="10">
        <v>45690</v>
      </c>
      <c r="D774" s="15">
        <v>14.2</v>
      </c>
      <c r="E774" s="12">
        <v>2.8</v>
      </c>
      <c r="F774" s="12">
        <v>1.98</v>
      </c>
      <c r="G774" s="12">
        <v>0.93</v>
      </c>
      <c r="H774" s="9" t="s">
        <v>59</v>
      </c>
      <c r="I774" s="9" t="s">
        <v>10</v>
      </c>
      <c r="J774" s="9" t="s">
        <v>22</v>
      </c>
      <c r="K774"/>
      <c r="U774"/>
      <c r="V774"/>
    </row>
    <row r="775" spans="1:22" ht="18" hidden="1">
      <c r="A775" s="9">
        <f>IF(Table1[[#This Row],[کد کوپ]]&lt;1,0,A774+1)</f>
        <v>774</v>
      </c>
      <c r="B775" s="9">
        <f t="shared" si="0"/>
        <v>101</v>
      </c>
      <c r="C775" s="10">
        <v>45690</v>
      </c>
      <c r="D775" s="15">
        <v>12.6</v>
      </c>
      <c r="E775" s="12">
        <v>2.9</v>
      </c>
      <c r="F775" s="12">
        <v>1.7</v>
      </c>
      <c r="G775" s="12">
        <v>0.95</v>
      </c>
      <c r="H775" s="9" t="s">
        <v>59</v>
      </c>
      <c r="I775" s="9" t="s">
        <v>10</v>
      </c>
      <c r="J775" s="9" t="s">
        <v>22</v>
      </c>
      <c r="K775"/>
      <c r="U775"/>
      <c r="V775"/>
    </row>
    <row r="776" spans="1:22" ht="18" hidden="1">
      <c r="A776" s="9">
        <f>IF(Table1[[#This Row],[کد کوپ]]&lt;1,0,A775+1)</f>
        <v>775</v>
      </c>
      <c r="B776" s="9">
        <f t="shared" si="0"/>
        <v>102</v>
      </c>
      <c r="C776" s="10">
        <v>45690</v>
      </c>
      <c r="D776" s="15">
        <v>10.25</v>
      </c>
      <c r="E776" s="12">
        <v>3</v>
      </c>
      <c r="F776" s="12">
        <v>1.53</v>
      </c>
      <c r="G776" s="12">
        <v>0.85</v>
      </c>
      <c r="H776" s="9" t="s">
        <v>59</v>
      </c>
      <c r="I776" s="9" t="s">
        <v>10</v>
      </c>
      <c r="J776" s="9" t="s">
        <v>22</v>
      </c>
      <c r="K776"/>
      <c r="U776"/>
      <c r="V776"/>
    </row>
    <row r="777" spans="1:22" ht="18" hidden="1">
      <c r="A777" s="9">
        <f>IF(Table1[[#This Row],[کد کوپ]]&lt;1,0,A776+1)</f>
        <v>776</v>
      </c>
      <c r="B777" s="9">
        <f t="shared" si="0"/>
        <v>103</v>
      </c>
      <c r="C777" s="10">
        <v>45690</v>
      </c>
      <c r="D777" s="15">
        <v>10</v>
      </c>
      <c r="E777" s="12">
        <v>2.6</v>
      </c>
      <c r="F777" s="12">
        <v>1.53</v>
      </c>
      <c r="G777" s="12">
        <v>0.93</v>
      </c>
      <c r="H777" s="9" t="s">
        <v>59</v>
      </c>
      <c r="I777" s="9" t="s">
        <v>10</v>
      </c>
      <c r="J777" s="9" t="s">
        <v>22</v>
      </c>
      <c r="K777"/>
      <c r="U777"/>
      <c r="V777"/>
    </row>
    <row r="778" spans="1:22" ht="18" hidden="1">
      <c r="A778" s="9">
        <f>IF(Table1[[#This Row],[کد کوپ]]&lt;1,0,A777+1)</f>
        <v>777</v>
      </c>
      <c r="B778" s="9">
        <f t="shared" si="0"/>
        <v>104</v>
      </c>
      <c r="C778" s="10">
        <v>45690</v>
      </c>
      <c r="D778" s="15">
        <v>9</v>
      </c>
      <c r="E778" s="12">
        <v>2.1</v>
      </c>
      <c r="F778" s="12">
        <v>1.7</v>
      </c>
      <c r="G778" s="12">
        <v>0.9</v>
      </c>
      <c r="H778" s="9" t="s">
        <v>59</v>
      </c>
      <c r="I778" s="9" t="s">
        <v>10</v>
      </c>
      <c r="J778" s="9" t="s">
        <v>22</v>
      </c>
      <c r="K778"/>
      <c r="U778"/>
      <c r="V778"/>
    </row>
    <row r="779" spans="1:22" ht="18" hidden="1">
      <c r="A779" s="9">
        <f>IF(Table1[[#This Row],[کد کوپ]]&lt;1,0,A778+1)</f>
        <v>778</v>
      </c>
      <c r="B779" s="9">
        <f t="shared" si="0"/>
        <v>105</v>
      </c>
      <c r="C779" s="10">
        <v>45691</v>
      </c>
      <c r="D779" s="12">
        <v>21.7</v>
      </c>
      <c r="E779" s="12">
        <v>2.6</v>
      </c>
      <c r="F779" s="12">
        <v>1.8</v>
      </c>
      <c r="G779" s="12">
        <v>1.65</v>
      </c>
      <c r="H779" s="9" t="s">
        <v>82</v>
      </c>
      <c r="I779" s="9" t="s">
        <v>10</v>
      </c>
      <c r="J779" s="9" t="s">
        <v>92</v>
      </c>
      <c r="K779"/>
      <c r="U779"/>
      <c r="V779"/>
    </row>
    <row r="780" spans="1:22" ht="18" hidden="1">
      <c r="A780" s="9">
        <f>IF(Table1[[#This Row],[کد کوپ]]&lt;1,0,A779+1)</f>
        <v>779</v>
      </c>
      <c r="B780" s="9">
        <f t="shared" si="0"/>
        <v>106</v>
      </c>
      <c r="C780" s="10">
        <v>45693</v>
      </c>
      <c r="D780" s="15">
        <v>17.55</v>
      </c>
      <c r="E780" s="12">
        <v>2.5499999999999998</v>
      </c>
      <c r="F780" s="12">
        <v>2.06</v>
      </c>
      <c r="G780" s="12">
        <v>1.2</v>
      </c>
      <c r="H780" s="9" t="s">
        <v>36</v>
      </c>
      <c r="I780" s="9" t="s">
        <v>10</v>
      </c>
      <c r="J780" s="9" t="s">
        <v>88</v>
      </c>
      <c r="K780"/>
      <c r="U780"/>
      <c r="V780"/>
    </row>
    <row r="781" spans="1:22" ht="18" hidden="1">
      <c r="A781" s="9">
        <f>IF(Table1[[#This Row],[کد کوپ]]&lt;1,0,A780+1)</f>
        <v>780</v>
      </c>
      <c r="B781" s="9">
        <f t="shared" si="0"/>
        <v>107</v>
      </c>
      <c r="C781" s="10">
        <v>45693</v>
      </c>
      <c r="D781" s="18">
        <v>11</v>
      </c>
      <c r="E781" s="15">
        <v>2.6</v>
      </c>
      <c r="F781" s="12">
        <v>1.8</v>
      </c>
      <c r="G781" s="12">
        <v>0.9</v>
      </c>
      <c r="H781" s="9" t="s">
        <v>36</v>
      </c>
      <c r="I781" s="9" t="s">
        <v>10</v>
      </c>
      <c r="J781" s="9" t="s">
        <v>88</v>
      </c>
      <c r="K781"/>
      <c r="U781"/>
      <c r="V781"/>
    </row>
    <row r="782" spans="1:22" ht="18" hidden="1">
      <c r="A782" s="9">
        <f>IF(Table1[[#This Row],[کد کوپ]]&lt;1,0,A781+1)</f>
        <v>781</v>
      </c>
      <c r="B782" s="9">
        <f t="shared" si="0"/>
        <v>108</v>
      </c>
      <c r="C782" s="10">
        <v>45693</v>
      </c>
      <c r="D782" s="18">
        <v>24.4</v>
      </c>
      <c r="E782" s="15">
        <v>3.24</v>
      </c>
      <c r="F782" s="12">
        <v>2</v>
      </c>
      <c r="G782" s="12">
        <v>1.4</v>
      </c>
      <c r="H782" s="9" t="s">
        <v>9</v>
      </c>
      <c r="I782" s="9" t="s">
        <v>10</v>
      </c>
      <c r="J782" s="9" t="s">
        <v>22</v>
      </c>
      <c r="K782"/>
      <c r="U782"/>
      <c r="V782"/>
    </row>
    <row r="783" spans="1:22" ht="18" hidden="1">
      <c r="A783" s="9">
        <f>IF(Table1[[#This Row],[کد کوپ]]&lt;1,0,A782+1)</f>
        <v>782</v>
      </c>
      <c r="B783" s="9">
        <f t="shared" si="0"/>
        <v>109</v>
      </c>
      <c r="C783" s="10">
        <v>45693</v>
      </c>
      <c r="D783" s="18">
        <v>10.5</v>
      </c>
      <c r="E783" s="15">
        <v>2.7</v>
      </c>
      <c r="F783" s="12">
        <v>1.7</v>
      </c>
      <c r="G783" s="12">
        <v>2.83</v>
      </c>
      <c r="H783" s="9" t="s">
        <v>36</v>
      </c>
      <c r="I783" s="9" t="s">
        <v>10</v>
      </c>
      <c r="J783" s="9" t="s">
        <v>93</v>
      </c>
      <c r="K783"/>
      <c r="U783"/>
      <c r="V783"/>
    </row>
    <row r="784" spans="1:22" ht="18" hidden="1">
      <c r="A784" s="9">
        <f>IF(Table1[[#This Row],[کد کوپ]]&lt;1,0,A783+1)</f>
        <v>783</v>
      </c>
      <c r="B784" s="9">
        <f t="shared" si="0"/>
        <v>110</v>
      </c>
      <c r="C784" s="10">
        <v>45694</v>
      </c>
      <c r="D784" s="15">
        <v>25.2</v>
      </c>
      <c r="E784" s="12">
        <v>3.2</v>
      </c>
      <c r="F784" s="12">
        <v>2.0499999999999998</v>
      </c>
      <c r="G784" s="12">
        <v>1.4</v>
      </c>
      <c r="H784" s="9" t="s">
        <v>9</v>
      </c>
      <c r="I784" s="9" t="s">
        <v>10</v>
      </c>
      <c r="J784" s="9" t="s">
        <v>22</v>
      </c>
      <c r="K784"/>
      <c r="U784"/>
      <c r="V784"/>
    </row>
    <row r="785" spans="1:22" ht="18" hidden="1">
      <c r="A785" s="9">
        <f>IF(Table1[[#This Row],[کد کوپ]]&lt;1,0,A784+1)</f>
        <v>784</v>
      </c>
      <c r="B785" s="9">
        <f t="shared" si="0"/>
        <v>111</v>
      </c>
      <c r="C785" s="10">
        <v>45697</v>
      </c>
      <c r="D785" s="15">
        <v>8.85</v>
      </c>
      <c r="E785" s="12">
        <v>2</v>
      </c>
      <c r="F785" s="12">
        <v>1.5</v>
      </c>
      <c r="G785" s="12">
        <v>1.5</v>
      </c>
      <c r="H785" s="9" t="s">
        <v>57</v>
      </c>
      <c r="I785" s="9" t="s">
        <v>34</v>
      </c>
      <c r="J785" s="9"/>
      <c r="K785"/>
      <c r="U785"/>
      <c r="V785"/>
    </row>
    <row r="786" spans="1:22" ht="18" hidden="1">
      <c r="A786" s="9">
        <f>IF(Table1[[#This Row],[کد کوپ]]&lt;1,0,A785+1)</f>
        <v>785</v>
      </c>
      <c r="B786" s="9">
        <f t="shared" si="0"/>
        <v>112</v>
      </c>
      <c r="C786" s="10">
        <v>45697</v>
      </c>
      <c r="D786" s="15">
        <v>14.7</v>
      </c>
      <c r="E786" s="12">
        <v>3</v>
      </c>
      <c r="F786" s="12">
        <v>1.75</v>
      </c>
      <c r="G786" s="12">
        <v>1.55</v>
      </c>
      <c r="H786" s="9" t="s">
        <v>57</v>
      </c>
      <c r="I786" s="9" t="s">
        <v>34</v>
      </c>
      <c r="J786" s="9"/>
      <c r="K786"/>
      <c r="U786"/>
      <c r="V786"/>
    </row>
    <row r="787" spans="1:22" ht="18" hidden="1">
      <c r="A787" s="9">
        <f>IF(Table1[[#This Row],[کد کوپ]]&lt;1,0,A786+1)</f>
        <v>786</v>
      </c>
      <c r="B787" s="9">
        <f t="shared" si="0"/>
        <v>113</v>
      </c>
      <c r="C787" s="10">
        <v>45697</v>
      </c>
      <c r="D787" s="15">
        <v>9.4</v>
      </c>
      <c r="E787" s="12">
        <v>2.37</v>
      </c>
      <c r="F787" s="12">
        <v>1.8</v>
      </c>
      <c r="G787" s="12">
        <v>1.3</v>
      </c>
      <c r="H787" s="9" t="s">
        <v>57</v>
      </c>
      <c r="I787" s="9" t="s">
        <v>34</v>
      </c>
      <c r="J787" s="9"/>
      <c r="K787"/>
      <c r="U787"/>
      <c r="V787"/>
    </row>
    <row r="788" spans="1:22" ht="18" hidden="1">
      <c r="A788" s="9">
        <f>IF(Table1[[#This Row],[کد کوپ]]&lt;1,0,A787+1)</f>
        <v>787</v>
      </c>
      <c r="B788" s="9">
        <f t="shared" si="0"/>
        <v>114</v>
      </c>
      <c r="C788" s="10">
        <v>45697</v>
      </c>
      <c r="D788" s="15">
        <v>14.15</v>
      </c>
      <c r="E788" s="12">
        <v>3.1</v>
      </c>
      <c r="F788" s="12">
        <v>1.85</v>
      </c>
      <c r="G788" s="12">
        <v>1.35</v>
      </c>
      <c r="H788" s="9" t="s">
        <v>57</v>
      </c>
      <c r="I788" s="9" t="s">
        <v>34</v>
      </c>
      <c r="J788" s="9"/>
      <c r="K788"/>
      <c r="U788"/>
      <c r="V788"/>
    </row>
    <row r="789" spans="1:22" ht="18" hidden="1">
      <c r="A789" s="9">
        <f>IF(Table1[[#This Row],[کد کوپ]]&lt;1,0,A788+1)</f>
        <v>788</v>
      </c>
      <c r="B789" s="9">
        <f t="shared" si="0"/>
        <v>115</v>
      </c>
      <c r="C789" s="10">
        <v>45697</v>
      </c>
      <c r="D789" s="15">
        <v>24.9</v>
      </c>
      <c r="E789" s="12">
        <v>2.85</v>
      </c>
      <c r="F789" s="12">
        <v>1.8</v>
      </c>
      <c r="G789" s="12">
        <v>1.75</v>
      </c>
      <c r="H789" s="9" t="s">
        <v>85</v>
      </c>
      <c r="I789" s="9" t="s">
        <v>10</v>
      </c>
      <c r="J789" s="9" t="s">
        <v>90</v>
      </c>
      <c r="K789"/>
      <c r="U789"/>
      <c r="V789"/>
    </row>
    <row r="790" spans="1:22" ht="18" hidden="1">
      <c r="A790" s="9">
        <f>IF(Table1[[#This Row],[کد کوپ]]&lt;1,0,A789+1)</f>
        <v>789</v>
      </c>
      <c r="B790" s="9">
        <f t="shared" si="0"/>
        <v>116</v>
      </c>
      <c r="C790" s="10">
        <v>45697</v>
      </c>
      <c r="D790" s="15">
        <v>22.3</v>
      </c>
      <c r="E790" s="12">
        <v>3.15</v>
      </c>
      <c r="F790" s="12">
        <v>1.73</v>
      </c>
      <c r="G790" s="12">
        <v>1.45</v>
      </c>
      <c r="H790" s="9" t="s">
        <v>85</v>
      </c>
      <c r="I790" s="9" t="s">
        <v>10</v>
      </c>
      <c r="J790" s="9" t="s">
        <v>90</v>
      </c>
      <c r="K790"/>
      <c r="U790"/>
      <c r="V790"/>
    </row>
    <row r="791" spans="1:22" ht="18" hidden="1">
      <c r="A791" s="9">
        <f>IF(Table1[[#This Row],[کد کوپ]]&lt;1,0,A790+1)</f>
        <v>790</v>
      </c>
      <c r="B791" s="9">
        <v>117</v>
      </c>
      <c r="C791" s="10">
        <v>45697</v>
      </c>
      <c r="D791" s="15">
        <v>21.83</v>
      </c>
      <c r="E791" s="12">
        <v>3.16</v>
      </c>
      <c r="F791" s="12">
        <v>1.75</v>
      </c>
      <c r="G791" s="12">
        <v>1.4</v>
      </c>
      <c r="H791" s="9" t="s">
        <v>85</v>
      </c>
      <c r="I791" s="9" t="s">
        <v>10</v>
      </c>
      <c r="J791" s="9" t="s">
        <v>90</v>
      </c>
      <c r="K791"/>
      <c r="U791"/>
      <c r="V791"/>
    </row>
    <row r="792" spans="1:22" ht="18" hidden="1">
      <c r="A792" s="9">
        <f>IF(Table1[[#This Row],[کد کوپ]]&lt;1,0,A791+1)</f>
        <v>791</v>
      </c>
      <c r="B792" s="9">
        <v>118</v>
      </c>
      <c r="C792" s="10">
        <v>45699</v>
      </c>
      <c r="D792" s="15">
        <v>21.5</v>
      </c>
      <c r="E792" s="12">
        <v>2.5</v>
      </c>
      <c r="F792" s="12">
        <v>1.85</v>
      </c>
      <c r="G792" s="12">
        <v>1.75</v>
      </c>
      <c r="H792" s="9" t="s">
        <v>67</v>
      </c>
      <c r="I792" s="9" t="s">
        <v>10</v>
      </c>
      <c r="J792" s="9" t="s">
        <v>68</v>
      </c>
      <c r="K792"/>
      <c r="U792"/>
      <c r="V792"/>
    </row>
    <row r="793" spans="1:22" ht="18" hidden="1">
      <c r="A793" s="9">
        <f>IF(Table1[[#This Row],[کد کوپ]]&lt;1,0,A792+1)</f>
        <v>792</v>
      </c>
      <c r="B793" s="9">
        <v>119</v>
      </c>
      <c r="C793" s="10">
        <v>45703</v>
      </c>
      <c r="D793" s="15">
        <v>9.8000000000000007</v>
      </c>
      <c r="E793" s="12">
        <v>2.5</v>
      </c>
      <c r="F793" s="12">
        <v>1.78</v>
      </c>
      <c r="G793" s="12">
        <v>0.85</v>
      </c>
      <c r="H793" s="9" t="s">
        <v>85</v>
      </c>
      <c r="I793" s="9" t="s">
        <v>10</v>
      </c>
      <c r="J793" s="9" t="s">
        <v>89</v>
      </c>
      <c r="K793"/>
      <c r="U793"/>
      <c r="V793"/>
    </row>
    <row r="794" spans="1:22" ht="18" hidden="1">
      <c r="A794" s="9">
        <f>IF(Table1[[#This Row],[کد کوپ]]&lt;1,0,A793+1)</f>
        <v>793</v>
      </c>
      <c r="B794" s="9">
        <v>120</v>
      </c>
      <c r="C794" s="10">
        <v>45703</v>
      </c>
      <c r="D794" s="18">
        <v>7.85</v>
      </c>
      <c r="E794" s="15">
        <v>2.5499999999999998</v>
      </c>
      <c r="F794" s="12">
        <v>1.87</v>
      </c>
      <c r="G794" s="12">
        <v>0.6</v>
      </c>
      <c r="H794" s="9" t="s">
        <v>85</v>
      </c>
      <c r="I794" s="9" t="s">
        <v>10</v>
      </c>
      <c r="J794" s="9" t="s">
        <v>89</v>
      </c>
      <c r="K794"/>
      <c r="U794"/>
      <c r="V794"/>
    </row>
    <row r="795" spans="1:22" ht="18" hidden="1">
      <c r="A795" s="9">
        <f>IF(Table1[[#This Row],[کد کوپ]]&lt;1,0,A794+1)</f>
        <v>794</v>
      </c>
      <c r="B795" s="9">
        <v>121</v>
      </c>
      <c r="C795" s="10">
        <v>45703</v>
      </c>
      <c r="D795" s="18">
        <v>8.35</v>
      </c>
      <c r="E795" s="15">
        <v>2.7</v>
      </c>
      <c r="F795" s="12">
        <v>1.5</v>
      </c>
      <c r="G795" s="12">
        <v>0.85</v>
      </c>
      <c r="H795" s="9" t="s">
        <v>85</v>
      </c>
      <c r="I795" s="9" t="s">
        <v>10</v>
      </c>
      <c r="J795" s="9" t="s">
        <v>89</v>
      </c>
      <c r="K795"/>
      <c r="U795"/>
      <c r="V795"/>
    </row>
    <row r="796" spans="1:22" ht="18" hidden="1">
      <c r="A796" s="9">
        <f>IF(Table1[[#This Row],[کد کوپ]]&lt;1,0,A795+1)</f>
        <v>795</v>
      </c>
      <c r="B796" s="9">
        <v>122</v>
      </c>
      <c r="C796" s="10">
        <v>45705</v>
      </c>
      <c r="D796" s="11">
        <v>21.65</v>
      </c>
      <c r="E796" s="15">
        <v>2.9</v>
      </c>
      <c r="F796" s="12">
        <v>1.85</v>
      </c>
      <c r="G796" s="12">
        <v>1.5</v>
      </c>
      <c r="H796" s="9" t="s">
        <v>36</v>
      </c>
      <c r="I796" s="9" t="s">
        <v>10</v>
      </c>
      <c r="J796" s="9" t="s">
        <v>93</v>
      </c>
      <c r="K796"/>
      <c r="U796"/>
      <c r="V796"/>
    </row>
    <row r="797" spans="1:22" ht="18" hidden="1">
      <c r="A797" s="9">
        <f>IF(Table1[[#This Row],[کد کوپ]]&lt;1,0,A796+1)</f>
        <v>796</v>
      </c>
      <c r="B797" s="9">
        <v>123</v>
      </c>
      <c r="C797" s="10">
        <v>45707</v>
      </c>
      <c r="D797" s="11">
        <v>25.1</v>
      </c>
      <c r="E797" s="15">
        <v>3</v>
      </c>
      <c r="F797" s="12">
        <v>2.02</v>
      </c>
      <c r="G797" s="12">
        <v>1.52</v>
      </c>
      <c r="H797" s="9" t="s">
        <v>59</v>
      </c>
      <c r="I797" s="9" t="s">
        <v>10</v>
      </c>
      <c r="J797" s="9" t="s">
        <v>60</v>
      </c>
      <c r="K797"/>
      <c r="U797"/>
      <c r="V797"/>
    </row>
    <row r="798" spans="1:22" ht="18" hidden="1">
      <c r="A798" s="9">
        <f>IF(Table1[[#This Row],[کد کوپ]]&lt;1,0,A797+1)</f>
        <v>797</v>
      </c>
      <c r="B798" s="9">
        <v>124</v>
      </c>
      <c r="C798" s="10">
        <v>45708</v>
      </c>
      <c r="D798" s="11">
        <v>19.149999999999999</v>
      </c>
      <c r="E798" s="15">
        <v>2.65</v>
      </c>
      <c r="F798" s="12">
        <v>1.92</v>
      </c>
      <c r="G798" s="12">
        <v>1.4</v>
      </c>
      <c r="H798" s="9" t="s">
        <v>59</v>
      </c>
      <c r="I798" s="9" t="s">
        <v>10</v>
      </c>
      <c r="J798" s="9" t="s">
        <v>60</v>
      </c>
      <c r="K798"/>
      <c r="U798"/>
      <c r="V798"/>
    </row>
    <row r="799" spans="1:22" ht="18" hidden="1">
      <c r="A799" s="9">
        <f>IF(Table1[[#This Row],[کد کوپ]]&lt;1,0,A798+1)</f>
        <v>798</v>
      </c>
      <c r="B799" s="9">
        <v>125</v>
      </c>
      <c r="C799" s="10">
        <v>45708</v>
      </c>
      <c r="D799" s="11">
        <v>11.1</v>
      </c>
      <c r="E799" s="15">
        <v>2.6</v>
      </c>
      <c r="F799" s="12">
        <v>1.53</v>
      </c>
      <c r="G799" s="12">
        <v>1</v>
      </c>
      <c r="H799" s="9" t="s">
        <v>59</v>
      </c>
      <c r="I799" s="9" t="s">
        <v>10</v>
      </c>
      <c r="J799" s="9" t="s">
        <v>60</v>
      </c>
      <c r="K799"/>
      <c r="U799"/>
      <c r="V799"/>
    </row>
    <row r="800" spans="1:22" ht="18" hidden="1">
      <c r="A800" s="9">
        <f>IF(Table1[[#This Row],[کد کوپ]]&lt;1,0,A799+1)</f>
        <v>799</v>
      </c>
      <c r="B800" s="9">
        <v>126</v>
      </c>
      <c r="C800" s="10">
        <v>45708</v>
      </c>
      <c r="D800" s="11">
        <v>9.3000000000000007</v>
      </c>
      <c r="E800" s="15">
        <v>3.1</v>
      </c>
      <c r="F800" s="12">
        <v>1.75</v>
      </c>
      <c r="G800" s="12">
        <v>2.12</v>
      </c>
      <c r="H800" s="9" t="s">
        <v>94</v>
      </c>
      <c r="I800" s="9" t="s">
        <v>34</v>
      </c>
      <c r="J800" s="9" t="s">
        <v>51</v>
      </c>
      <c r="K800"/>
      <c r="U800"/>
      <c r="V800"/>
    </row>
    <row r="801" spans="1:22" ht="18" hidden="1">
      <c r="A801" s="9">
        <f>IF(Table1[[#This Row],[کد کوپ]]&lt;1,0,A800+1)</f>
        <v>800</v>
      </c>
      <c r="B801" s="9">
        <v>127</v>
      </c>
      <c r="C801" s="10">
        <v>45713</v>
      </c>
      <c r="D801" s="11">
        <v>22.65</v>
      </c>
      <c r="E801" s="15">
        <v>2.5</v>
      </c>
      <c r="F801" s="12">
        <v>1.9</v>
      </c>
      <c r="G801" s="12">
        <v>1.7</v>
      </c>
      <c r="H801" s="9" t="s">
        <v>85</v>
      </c>
      <c r="I801" s="9" t="s">
        <v>10</v>
      </c>
      <c r="J801" s="9" t="s">
        <v>90</v>
      </c>
      <c r="K801"/>
      <c r="U801"/>
      <c r="V801"/>
    </row>
    <row r="802" spans="1:22" ht="18" hidden="1">
      <c r="A802" s="9">
        <f>IF(Table1[[#This Row],[کد کوپ]]&lt;1,0,A801+1)</f>
        <v>801</v>
      </c>
      <c r="B802" s="9">
        <v>128</v>
      </c>
      <c r="C802" s="10">
        <v>45713</v>
      </c>
      <c r="D802" s="11">
        <v>15.3</v>
      </c>
      <c r="E802" s="15">
        <v>2.5</v>
      </c>
      <c r="F802" s="12">
        <v>1.85</v>
      </c>
      <c r="G802" s="12">
        <v>1.2</v>
      </c>
      <c r="H802" s="9" t="s">
        <v>59</v>
      </c>
      <c r="I802" s="9" t="s">
        <v>10</v>
      </c>
      <c r="J802" s="9" t="s">
        <v>22</v>
      </c>
      <c r="K802"/>
      <c r="U802"/>
      <c r="V802"/>
    </row>
    <row r="803" spans="1:22" ht="18" hidden="1">
      <c r="A803" s="9">
        <f>IF(Table1[[#This Row],[کد کوپ]]&lt;1,0,A802+1)</f>
        <v>802</v>
      </c>
      <c r="B803" s="9">
        <v>129</v>
      </c>
      <c r="C803" s="10">
        <v>45713</v>
      </c>
      <c r="D803" s="11">
        <v>23.3</v>
      </c>
      <c r="E803" s="15">
        <v>3.14</v>
      </c>
      <c r="F803" s="12">
        <v>1.7</v>
      </c>
      <c r="G803" s="12">
        <v>1.6</v>
      </c>
      <c r="H803" s="9" t="s">
        <v>85</v>
      </c>
      <c r="I803" s="9" t="s">
        <v>10</v>
      </c>
      <c r="J803" s="9" t="s">
        <v>90</v>
      </c>
      <c r="K803"/>
      <c r="U803"/>
      <c r="V803"/>
    </row>
    <row r="804" spans="1:22" ht="18" hidden="1">
      <c r="A804" s="9">
        <f>IF(Table1[[#This Row],[کد کوپ]]&lt;1,0,A803+1)</f>
        <v>803</v>
      </c>
      <c r="B804" s="9">
        <v>130</v>
      </c>
      <c r="C804" s="10">
        <v>45717</v>
      </c>
      <c r="D804" s="11">
        <v>13.865</v>
      </c>
      <c r="E804" s="15">
        <v>2.4500000000000002</v>
      </c>
      <c r="F804" s="12">
        <v>1.6</v>
      </c>
      <c r="G804" s="12">
        <v>1.25</v>
      </c>
      <c r="H804" s="9" t="s">
        <v>95</v>
      </c>
      <c r="I804" s="9" t="s">
        <v>10</v>
      </c>
      <c r="J804" s="9" t="s">
        <v>22</v>
      </c>
      <c r="K804"/>
      <c r="U804"/>
      <c r="V804"/>
    </row>
    <row r="805" spans="1:22" ht="18" hidden="1">
      <c r="A805" s="9">
        <f>IF(Table1[[#This Row],[کد کوپ]]&lt;1,0,A804+1)</f>
        <v>804</v>
      </c>
      <c r="B805" s="9">
        <v>131</v>
      </c>
      <c r="C805" s="10">
        <v>45717</v>
      </c>
      <c r="D805" s="11">
        <v>11.1</v>
      </c>
      <c r="E805" s="15">
        <v>2.4</v>
      </c>
      <c r="F805" s="12">
        <v>1.8</v>
      </c>
      <c r="G805" s="12">
        <v>0.95</v>
      </c>
      <c r="H805" s="9" t="s">
        <v>95</v>
      </c>
      <c r="I805" s="9" t="s">
        <v>10</v>
      </c>
      <c r="J805" s="9" t="s">
        <v>22</v>
      </c>
      <c r="K805"/>
      <c r="U805"/>
      <c r="V805"/>
    </row>
    <row r="806" spans="1:22" ht="18" hidden="1">
      <c r="A806" s="9">
        <f>IF(Table1[[#This Row],[کد کوپ]]&lt;1,0,A805+1)</f>
        <v>805</v>
      </c>
      <c r="B806" s="9">
        <v>132</v>
      </c>
      <c r="C806" s="10">
        <v>45717</v>
      </c>
      <c r="D806" s="11">
        <v>28.8</v>
      </c>
      <c r="E806" s="15">
        <v>2.95</v>
      </c>
      <c r="F806" s="12">
        <v>1.95</v>
      </c>
      <c r="G806" s="12">
        <v>1.95</v>
      </c>
      <c r="H806" s="9" t="s">
        <v>59</v>
      </c>
      <c r="I806" s="9" t="s">
        <v>10</v>
      </c>
      <c r="J806" s="9" t="s">
        <v>60</v>
      </c>
      <c r="K806"/>
      <c r="U806"/>
      <c r="V806"/>
    </row>
    <row r="807" spans="1:22" ht="18" hidden="1">
      <c r="A807" s="9">
        <f>IF(Table1[[#This Row],[کد کوپ]]&lt;1,0,A806+1)</f>
        <v>806</v>
      </c>
      <c r="B807" s="9">
        <v>133</v>
      </c>
      <c r="C807" s="10">
        <v>45717</v>
      </c>
      <c r="D807" s="11">
        <v>11.65</v>
      </c>
      <c r="E807" s="15">
        <v>2.5499999999999998</v>
      </c>
      <c r="F807" s="12">
        <v>1.7</v>
      </c>
      <c r="G807" s="12">
        <v>1</v>
      </c>
      <c r="H807" s="9" t="s">
        <v>95</v>
      </c>
      <c r="I807" s="9" t="s">
        <v>10</v>
      </c>
      <c r="J807" s="9" t="s">
        <v>22</v>
      </c>
      <c r="K807"/>
      <c r="U807"/>
      <c r="V807"/>
    </row>
    <row r="808" spans="1:22" ht="18" hidden="1">
      <c r="A808" s="9">
        <f>IF(Table1[[#This Row],[کد کوپ]]&lt;1,0,A807+1)</f>
        <v>807</v>
      </c>
      <c r="B808" s="9">
        <v>134</v>
      </c>
      <c r="C808" s="10">
        <v>45717</v>
      </c>
      <c r="D808" s="11">
        <v>10.55</v>
      </c>
      <c r="E808" s="15">
        <v>2.4500000000000002</v>
      </c>
      <c r="F808" s="12">
        <v>1.6</v>
      </c>
      <c r="G808" s="12">
        <v>1</v>
      </c>
      <c r="H808" s="9" t="s">
        <v>95</v>
      </c>
      <c r="I808" s="9" t="s">
        <v>10</v>
      </c>
      <c r="J808" s="9" t="s">
        <v>22</v>
      </c>
      <c r="K808"/>
      <c r="U808"/>
      <c r="V808"/>
    </row>
    <row r="809" spans="1:22" ht="18" hidden="1">
      <c r="A809" s="9">
        <f>IF(Table1[[#This Row],[کد کوپ]]&lt;1,0,A808+1)</f>
        <v>808</v>
      </c>
      <c r="B809" s="9">
        <v>135</v>
      </c>
      <c r="C809" s="10">
        <v>45718</v>
      </c>
      <c r="D809" s="11">
        <v>8.6</v>
      </c>
      <c r="E809" s="15">
        <v>2.2000000000000002</v>
      </c>
      <c r="F809" s="12">
        <v>1.55</v>
      </c>
      <c r="G809" s="12">
        <v>0.95</v>
      </c>
      <c r="H809" s="9" t="s">
        <v>95</v>
      </c>
      <c r="I809" s="9" t="s">
        <v>10</v>
      </c>
      <c r="J809" s="9" t="s">
        <v>22</v>
      </c>
      <c r="K809"/>
      <c r="U809"/>
      <c r="V809"/>
    </row>
    <row r="810" spans="1:22" ht="18" hidden="1">
      <c r="A810" s="9">
        <f>IF(Table1[[#This Row],[کد کوپ]]&lt;1,0,A809+1)</f>
        <v>809</v>
      </c>
      <c r="B810" s="9">
        <v>136</v>
      </c>
      <c r="C810" s="10">
        <v>45718</v>
      </c>
      <c r="D810" s="11">
        <v>13.5</v>
      </c>
      <c r="E810" s="15">
        <v>2.5499999999999998</v>
      </c>
      <c r="F810" s="12">
        <v>1.55</v>
      </c>
      <c r="G810" s="12">
        <v>1.25</v>
      </c>
      <c r="H810" s="9" t="s">
        <v>95</v>
      </c>
      <c r="I810" s="9" t="s">
        <v>10</v>
      </c>
      <c r="J810" s="9" t="s">
        <v>22</v>
      </c>
      <c r="K810"/>
      <c r="U810"/>
      <c r="V810"/>
    </row>
    <row r="811" spans="1:22" ht="18" hidden="1">
      <c r="A811" s="9">
        <f>IF(Table1[[#This Row],[کد کوپ]]&lt;1,0,A810+1)</f>
        <v>810</v>
      </c>
      <c r="B811" s="9">
        <v>137</v>
      </c>
      <c r="C811" s="10">
        <v>45718</v>
      </c>
      <c r="D811" s="11">
        <v>11</v>
      </c>
      <c r="E811" s="15">
        <v>2.8</v>
      </c>
      <c r="F811" s="12">
        <v>1.25</v>
      </c>
      <c r="G811" s="12">
        <v>0.95</v>
      </c>
      <c r="H811" s="9" t="s">
        <v>95</v>
      </c>
      <c r="I811" s="9" t="s">
        <v>10</v>
      </c>
      <c r="J811" s="9" t="s">
        <v>22</v>
      </c>
      <c r="K811"/>
      <c r="U811"/>
      <c r="V811"/>
    </row>
    <row r="812" spans="1:22" ht="18" hidden="1">
      <c r="A812" s="9">
        <f>IF(Table1[[#This Row],[کد کوپ]]&lt;1,0,A811+1)</f>
        <v>811</v>
      </c>
      <c r="B812" s="9">
        <v>138</v>
      </c>
      <c r="C812" s="10">
        <v>45718</v>
      </c>
      <c r="D812" s="11">
        <v>9.65</v>
      </c>
      <c r="E812" s="15">
        <v>2.65</v>
      </c>
      <c r="F812" s="12">
        <v>1.57</v>
      </c>
      <c r="G812" s="12">
        <v>0.82</v>
      </c>
      <c r="H812" s="9" t="s">
        <v>95</v>
      </c>
      <c r="I812" s="9" t="s">
        <v>10</v>
      </c>
      <c r="J812" s="9" t="s">
        <v>22</v>
      </c>
      <c r="K812"/>
      <c r="U812"/>
      <c r="V812"/>
    </row>
    <row r="813" spans="1:22" ht="18">
      <c r="A813" s="9">
        <f>IF(Table1[[#This Row],[کد کوپ]]&lt;1,0,A812+1)</f>
        <v>812</v>
      </c>
      <c r="B813" s="9">
        <v>139</v>
      </c>
      <c r="C813" s="10">
        <v>45718</v>
      </c>
      <c r="D813" s="11">
        <v>9.6999999999999993</v>
      </c>
      <c r="E813" s="15">
        <v>2.0499999999999998</v>
      </c>
      <c r="F813" s="12">
        <v>1.35</v>
      </c>
      <c r="G813" s="12">
        <v>1.25</v>
      </c>
      <c r="H813" s="9" t="s">
        <v>9</v>
      </c>
      <c r="I813" s="9" t="s">
        <v>27</v>
      </c>
      <c r="J813" s="9" t="s">
        <v>65</v>
      </c>
      <c r="K813"/>
      <c r="U813"/>
      <c r="V813"/>
    </row>
    <row r="814" spans="1:22" ht="18">
      <c r="A814" s="9">
        <f>IF(Table1[[#This Row],[کد کوپ]]&lt;1,0,A813+1)</f>
        <v>813</v>
      </c>
      <c r="B814" s="9">
        <v>140</v>
      </c>
      <c r="C814" s="10">
        <v>45718</v>
      </c>
      <c r="D814" s="11">
        <v>14</v>
      </c>
      <c r="E814" s="15">
        <v>3</v>
      </c>
      <c r="F814" s="12">
        <v>1.3</v>
      </c>
      <c r="G814" s="12">
        <v>1.3</v>
      </c>
      <c r="H814" s="9" t="s">
        <v>9</v>
      </c>
      <c r="I814" s="9" t="s">
        <v>27</v>
      </c>
      <c r="J814" s="9" t="s">
        <v>65</v>
      </c>
      <c r="K814"/>
      <c r="U814"/>
      <c r="V814"/>
    </row>
    <row r="815" spans="1:22" ht="18">
      <c r="A815" s="9">
        <f>IF(Table1[[#This Row],[کد کوپ]]&lt;1,0,A814+1)</f>
        <v>814</v>
      </c>
      <c r="B815" s="9">
        <v>141</v>
      </c>
      <c r="C815" s="10">
        <v>45718</v>
      </c>
      <c r="D815" s="11">
        <v>25.8</v>
      </c>
      <c r="E815" s="15">
        <v>2.65</v>
      </c>
      <c r="F815" s="12">
        <v>2.0699999999999998</v>
      </c>
      <c r="G815" s="12">
        <v>1.9</v>
      </c>
      <c r="H815" s="9" t="s">
        <v>9</v>
      </c>
      <c r="I815" s="9" t="s">
        <v>27</v>
      </c>
      <c r="J815" s="9" t="s">
        <v>65</v>
      </c>
      <c r="K815"/>
      <c r="U815"/>
      <c r="V815"/>
    </row>
    <row r="816" spans="1:22" ht="18" hidden="1">
      <c r="A816" s="9">
        <f>IF(Table1[[#This Row],[کد کوپ]]&lt;1,0,A815+1)</f>
        <v>815</v>
      </c>
      <c r="B816" s="9">
        <v>142</v>
      </c>
      <c r="C816" s="10">
        <v>45718</v>
      </c>
      <c r="D816" s="11">
        <v>16.850000000000001</v>
      </c>
      <c r="E816" s="15">
        <v>2.87</v>
      </c>
      <c r="F816" s="12">
        <v>1.96</v>
      </c>
      <c r="G816" s="12">
        <v>1.1499999999999999</v>
      </c>
      <c r="H816" s="9" t="s">
        <v>82</v>
      </c>
      <c r="I816" s="9" t="s">
        <v>10</v>
      </c>
      <c r="J816" s="9" t="s">
        <v>45</v>
      </c>
      <c r="K816"/>
      <c r="U816"/>
      <c r="V816"/>
    </row>
    <row r="817" spans="1:22" ht="18">
      <c r="A817" s="9">
        <f>IF(Table1[[#This Row],[کد کوپ]]&lt;1,0,A816+1)</f>
        <v>816</v>
      </c>
      <c r="B817" s="9">
        <v>143</v>
      </c>
      <c r="C817" s="10">
        <v>45718</v>
      </c>
      <c r="D817" s="11">
        <v>16.600000000000001</v>
      </c>
      <c r="E817" s="15">
        <v>2.5</v>
      </c>
      <c r="F817" s="12">
        <v>1.63</v>
      </c>
      <c r="G817" s="12">
        <v>1.5</v>
      </c>
      <c r="H817" s="9" t="s">
        <v>9</v>
      </c>
      <c r="I817" s="9" t="s">
        <v>27</v>
      </c>
      <c r="J817" s="9" t="s">
        <v>65</v>
      </c>
      <c r="K817"/>
      <c r="U817"/>
      <c r="V817"/>
    </row>
    <row r="818" spans="1:22" ht="18">
      <c r="A818" s="9">
        <f>IF(Table1[[#This Row],[کد کوپ]]&lt;1,0,A817+1)</f>
        <v>817</v>
      </c>
      <c r="B818" s="9">
        <v>144</v>
      </c>
      <c r="C818" s="10">
        <v>45718</v>
      </c>
      <c r="D818" s="11">
        <v>11.05</v>
      </c>
      <c r="E818" s="15">
        <v>1.6</v>
      </c>
      <c r="F818" s="12">
        <v>1.55</v>
      </c>
      <c r="G818" s="12">
        <v>1.5</v>
      </c>
      <c r="H818" s="9" t="s">
        <v>9</v>
      </c>
      <c r="I818" s="9" t="s">
        <v>27</v>
      </c>
      <c r="J818" s="9" t="s">
        <v>65</v>
      </c>
      <c r="K818"/>
      <c r="U818"/>
      <c r="V818"/>
    </row>
    <row r="819" spans="1:22" ht="18">
      <c r="A819" s="9">
        <f>IF(Table1[[#This Row],[کد کوپ]]&lt;1,0,A818+1)</f>
        <v>818</v>
      </c>
      <c r="B819" s="9">
        <v>145</v>
      </c>
      <c r="C819" s="10">
        <v>45718</v>
      </c>
      <c r="D819" s="11">
        <v>25.3</v>
      </c>
      <c r="E819" s="15">
        <v>2.5499999999999998</v>
      </c>
      <c r="F819" s="12">
        <v>1.9</v>
      </c>
      <c r="G819" s="12">
        <v>1.8</v>
      </c>
      <c r="H819" s="9" t="s">
        <v>9</v>
      </c>
      <c r="I819" s="9" t="s">
        <v>27</v>
      </c>
      <c r="J819" s="9" t="s">
        <v>65</v>
      </c>
      <c r="K819"/>
      <c r="U819"/>
      <c r="V819"/>
    </row>
    <row r="820" spans="1:22" ht="18">
      <c r="A820" s="9">
        <f>IF(Table1[[#This Row],[کد کوپ]]&lt;1,0,A819+1)</f>
        <v>819</v>
      </c>
      <c r="B820" s="9">
        <v>146</v>
      </c>
      <c r="C820" s="10">
        <v>45718</v>
      </c>
      <c r="D820" s="11">
        <v>23.785</v>
      </c>
      <c r="E820" s="15">
        <v>2.4</v>
      </c>
      <c r="F820" s="12">
        <v>1.84</v>
      </c>
      <c r="G820" s="12">
        <v>1.98</v>
      </c>
      <c r="H820" s="9" t="s">
        <v>9</v>
      </c>
      <c r="I820" s="9" t="s">
        <v>27</v>
      </c>
      <c r="J820" s="9" t="s">
        <v>65</v>
      </c>
      <c r="K820"/>
      <c r="U820"/>
      <c r="V820"/>
    </row>
    <row r="821" spans="1:22" ht="18" hidden="1">
      <c r="A821" s="9">
        <f>IF(Table1[[#This Row],[کد کوپ]]&lt;1,0,A820+1)</f>
        <v>820</v>
      </c>
      <c r="B821" s="9">
        <v>147</v>
      </c>
      <c r="C821" s="10">
        <v>45719</v>
      </c>
      <c r="D821" s="11">
        <v>28.5</v>
      </c>
      <c r="E821" s="15">
        <v>3.08</v>
      </c>
      <c r="F821" s="12">
        <v>1.92</v>
      </c>
      <c r="G821" s="12">
        <v>1.7</v>
      </c>
      <c r="H821" s="9" t="s">
        <v>96</v>
      </c>
      <c r="I821" s="9" t="s">
        <v>10</v>
      </c>
      <c r="J821" s="9" t="s">
        <v>83</v>
      </c>
      <c r="K821"/>
      <c r="U821"/>
      <c r="V821"/>
    </row>
    <row r="822" spans="1:22" ht="18">
      <c r="A822" s="9">
        <f>IF(Table1[[#This Row],[کد کوپ]]&lt;1,0,A821+1)</f>
        <v>821</v>
      </c>
      <c r="B822" s="9">
        <v>148</v>
      </c>
      <c r="C822" s="10">
        <v>45719</v>
      </c>
      <c r="D822" s="11">
        <f>20.64-4.32</f>
        <v>16.32</v>
      </c>
      <c r="E822" s="15">
        <v>2.4500000000000002</v>
      </c>
      <c r="F822" s="12">
        <v>2</v>
      </c>
      <c r="G822" s="12">
        <v>1.6</v>
      </c>
      <c r="H822" s="9" t="s">
        <v>9</v>
      </c>
      <c r="I822" s="9" t="s">
        <v>27</v>
      </c>
      <c r="J822" s="9" t="s">
        <v>65</v>
      </c>
      <c r="K822"/>
      <c r="U822"/>
      <c r="V822"/>
    </row>
    <row r="823" spans="1:22" ht="18">
      <c r="A823" s="9">
        <f>IF(Table1[[#This Row],[کد کوپ]]&lt;1,0,A822+1)</f>
        <v>822</v>
      </c>
      <c r="B823" s="9">
        <v>149</v>
      </c>
      <c r="C823" s="10">
        <v>45719</v>
      </c>
      <c r="D823" s="11">
        <v>26.05</v>
      </c>
      <c r="E823" s="15">
        <v>2.9</v>
      </c>
      <c r="F823" s="12">
        <v>1.88</v>
      </c>
      <c r="G823" s="12">
        <v>1.8</v>
      </c>
      <c r="H823" s="9" t="s">
        <v>9</v>
      </c>
      <c r="I823" s="9" t="s">
        <v>27</v>
      </c>
      <c r="J823" s="9" t="s">
        <v>65</v>
      </c>
      <c r="K823"/>
      <c r="U823"/>
      <c r="V823"/>
    </row>
    <row r="824" spans="1:22" ht="18">
      <c r="A824" s="9">
        <f>IF(Table1[[#This Row],[کد کوپ]]&lt;1,0,A823+1)</f>
        <v>823</v>
      </c>
      <c r="B824" s="9">
        <v>150</v>
      </c>
      <c r="C824" s="10">
        <v>45719</v>
      </c>
      <c r="D824" s="11">
        <v>23.15</v>
      </c>
      <c r="E824" s="15">
        <v>2.95</v>
      </c>
      <c r="F824" s="12">
        <v>1.85</v>
      </c>
      <c r="G824" s="12">
        <v>1.55</v>
      </c>
      <c r="H824" s="9" t="s">
        <v>9</v>
      </c>
      <c r="I824" s="9" t="s">
        <v>27</v>
      </c>
      <c r="J824" s="9" t="s">
        <v>65</v>
      </c>
      <c r="K824"/>
      <c r="U824"/>
      <c r="V824"/>
    </row>
    <row r="825" spans="1:22" ht="18">
      <c r="A825" s="9">
        <f>IF(Table1[[#This Row],[کد کوپ]]&lt;1,0,A824+1)</f>
        <v>824</v>
      </c>
      <c r="B825" s="9">
        <v>151</v>
      </c>
      <c r="C825" s="10">
        <v>45719</v>
      </c>
      <c r="D825" s="11">
        <v>8.1999999999999993</v>
      </c>
      <c r="E825" s="15">
        <v>1.6</v>
      </c>
      <c r="F825" s="12">
        <v>1.6</v>
      </c>
      <c r="G825" s="12">
        <v>1.05</v>
      </c>
      <c r="H825" s="9" t="s">
        <v>9</v>
      </c>
      <c r="I825" s="9" t="s">
        <v>27</v>
      </c>
      <c r="J825" s="9" t="s">
        <v>97</v>
      </c>
      <c r="K825"/>
      <c r="U825"/>
      <c r="V825"/>
    </row>
    <row r="826" spans="1:22" ht="18">
      <c r="A826" s="9">
        <f>IF(Table1[[#This Row],[کد کوپ]]&lt;1,0,A825+1)</f>
        <v>825</v>
      </c>
      <c r="B826" s="9">
        <v>152</v>
      </c>
      <c r="C826" s="10">
        <v>45719</v>
      </c>
      <c r="D826" s="11">
        <v>16</v>
      </c>
      <c r="E826" s="15">
        <v>1.8</v>
      </c>
      <c r="F826" s="12">
        <v>1.8</v>
      </c>
      <c r="G826" s="12">
        <v>1.65</v>
      </c>
      <c r="H826" s="9" t="s">
        <v>9</v>
      </c>
      <c r="I826" s="9" t="s">
        <v>27</v>
      </c>
      <c r="J826" s="9" t="s">
        <v>65</v>
      </c>
      <c r="K826"/>
      <c r="U826"/>
      <c r="V826"/>
    </row>
    <row r="827" spans="1:22" ht="18" hidden="1">
      <c r="A827" s="9">
        <f>IF(Table1[[#This Row],[کد کوپ]]&lt;1,0,A826+1)</f>
        <v>826</v>
      </c>
      <c r="B827" s="9">
        <v>153</v>
      </c>
      <c r="C827" s="10">
        <v>45719</v>
      </c>
      <c r="D827" s="11">
        <v>25.67</v>
      </c>
      <c r="E827" s="15">
        <v>3.05</v>
      </c>
      <c r="F827" s="12">
        <v>1.8</v>
      </c>
      <c r="G827" s="12">
        <v>1.7</v>
      </c>
      <c r="H827" s="9" t="s">
        <v>96</v>
      </c>
      <c r="I827" s="9" t="s">
        <v>10</v>
      </c>
      <c r="J827" s="9" t="s">
        <v>83</v>
      </c>
      <c r="K827"/>
      <c r="U827"/>
      <c r="V827"/>
    </row>
    <row r="828" spans="1:22" ht="18">
      <c r="A828" s="9">
        <f>IF(Table1[[#This Row],[کد کوپ]]&lt;1,0,A827+1)</f>
        <v>827</v>
      </c>
      <c r="B828" s="9">
        <v>154</v>
      </c>
      <c r="C828" s="10">
        <v>45720</v>
      </c>
      <c r="D828" s="11">
        <v>16.55</v>
      </c>
      <c r="E828" s="15">
        <v>2</v>
      </c>
      <c r="F828" s="12">
        <v>1.75</v>
      </c>
      <c r="G828" s="12">
        <v>1.7</v>
      </c>
      <c r="H828" s="9" t="s">
        <v>59</v>
      </c>
      <c r="I828" s="9" t="s">
        <v>27</v>
      </c>
      <c r="J828" s="9" t="s">
        <v>62</v>
      </c>
      <c r="K828"/>
      <c r="U828"/>
      <c r="V828"/>
    </row>
    <row r="829" spans="1:22" ht="18">
      <c r="A829" s="9">
        <f>IF(Table1[[#This Row],[کد کوپ]]&lt;1,0,A828+1)</f>
        <v>828</v>
      </c>
      <c r="B829" s="9">
        <v>155</v>
      </c>
      <c r="C829" s="10">
        <v>45720</v>
      </c>
      <c r="D829" s="11">
        <v>18</v>
      </c>
      <c r="E829" s="15">
        <v>2.6</v>
      </c>
      <c r="F829" s="12">
        <v>1.82</v>
      </c>
      <c r="G829" s="12">
        <v>1.75</v>
      </c>
      <c r="H829" s="9" t="s">
        <v>59</v>
      </c>
      <c r="I829" s="9" t="s">
        <v>27</v>
      </c>
      <c r="J829" s="9" t="s">
        <v>62</v>
      </c>
      <c r="K829"/>
      <c r="U829"/>
      <c r="V829"/>
    </row>
    <row r="830" spans="1:22" ht="18" hidden="1">
      <c r="A830" s="9">
        <f>IF(Table1[[#This Row],[کد کوپ]]&lt;1,0,A829+1)</f>
        <v>829</v>
      </c>
      <c r="B830" s="9">
        <v>156</v>
      </c>
      <c r="C830" s="10">
        <v>45720</v>
      </c>
      <c r="D830" s="11">
        <v>28.6</v>
      </c>
      <c r="E830" s="15">
        <v>3</v>
      </c>
      <c r="F830" s="12">
        <v>2</v>
      </c>
      <c r="G830" s="12">
        <v>1.8</v>
      </c>
      <c r="H830" s="9" t="s">
        <v>96</v>
      </c>
      <c r="I830" s="9" t="s">
        <v>10</v>
      </c>
      <c r="J830" s="9" t="s">
        <v>83</v>
      </c>
      <c r="K830"/>
      <c r="U830"/>
      <c r="V830"/>
    </row>
    <row r="831" spans="1:22" ht="18" hidden="1">
      <c r="A831" s="9">
        <f>IF(Table1[[#This Row],[کد کوپ]]&lt;1,0,A830+1)</f>
        <v>830</v>
      </c>
      <c r="B831" s="9">
        <v>157</v>
      </c>
      <c r="C831" s="10">
        <v>45720</v>
      </c>
      <c r="D831" s="11">
        <v>26.8</v>
      </c>
      <c r="E831" s="15">
        <v>3.1</v>
      </c>
      <c r="F831" s="12">
        <v>1.85</v>
      </c>
      <c r="G831" s="12">
        <v>1.82</v>
      </c>
      <c r="H831" s="9" t="s">
        <v>96</v>
      </c>
      <c r="I831" s="9" t="s">
        <v>10</v>
      </c>
      <c r="J831" s="9" t="s">
        <v>83</v>
      </c>
      <c r="K831"/>
      <c r="U831"/>
      <c r="V831"/>
    </row>
    <row r="832" spans="1:22" ht="18" hidden="1">
      <c r="A832" s="9">
        <f>IF(Table1[[#This Row],[کد کوپ]]&lt;1,0,A831+1)</f>
        <v>831</v>
      </c>
      <c r="B832" s="9">
        <v>158</v>
      </c>
      <c r="C832" s="10">
        <v>45727</v>
      </c>
      <c r="D832" s="11">
        <v>18.3</v>
      </c>
      <c r="E832" s="15">
        <v>2.95</v>
      </c>
      <c r="F832" s="12">
        <v>1.8</v>
      </c>
      <c r="G832" s="12">
        <v>1.3</v>
      </c>
      <c r="H832" s="9" t="s">
        <v>96</v>
      </c>
      <c r="I832" s="9" t="s">
        <v>10</v>
      </c>
      <c r="J832" s="9" t="s">
        <v>83</v>
      </c>
      <c r="K832"/>
      <c r="U832"/>
      <c r="V832"/>
    </row>
    <row r="833" spans="1:22" ht="18" hidden="1">
      <c r="A833" s="9">
        <f>IF(Table1[[#This Row],[کد کوپ]]&lt;1,0,A832+1)</f>
        <v>832</v>
      </c>
      <c r="B833" s="9">
        <v>159</v>
      </c>
      <c r="C833" s="10">
        <v>45727</v>
      </c>
      <c r="D833" s="11">
        <v>16.600000000000001</v>
      </c>
      <c r="E833" s="15">
        <v>2.95</v>
      </c>
      <c r="F833" s="12">
        <v>1.85</v>
      </c>
      <c r="G833" s="12">
        <v>1.25</v>
      </c>
      <c r="H833" s="9" t="s">
        <v>96</v>
      </c>
      <c r="I833" s="9" t="s">
        <v>10</v>
      </c>
      <c r="J833" s="9" t="s">
        <v>83</v>
      </c>
      <c r="K833"/>
      <c r="U833"/>
      <c r="V833"/>
    </row>
    <row r="834" spans="1:22" ht="18">
      <c r="A834" s="9">
        <f>IF(Table1[[#This Row],[کد کوپ]]&lt;1,0,A833+1)</f>
        <v>833</v>
      </c>
      <c r="B834" s="9">
        <v>160</v>
      </c>
      <c r="C834" s="10">
        <v>45727</v>
      </c>
      <c r="D834" s="11">
        <v>25.9</v>
      </c>
      <c r="E834" s="15">
        <v>2.8</v>
      </c>
      <c r="F834" s="12">
        <v>1.9</v>
      </c>
      <c r="G834" s="12">
        <v>1.8</v>
      </c>
      <c r="H834" s="9" t="s">
        <v>9</v>
      </c>
      <c r="I834" s="9" t="s">
        <v>27</v>
      </c>
      <c r="J834" s="9" t="s">
        <v>65</v>
      </c>
      <c r="K834"/>
      <c r="U834"/>
      <c r="V834"/>
    </row>
    <row r="835" spans="1:22" ht="18">
      <c r="A835" s="9">
        <f>IF(Table1[[#This Row],[کد کوپ]]&lt;1,0,A834+1)</f>
        <v>834</v>
      </c>
      <c r="B835" s="9">
        <v>161</v>
      </c>
      <c r="C835" s="10">
        <v>45727</v>
      </c>
      <c r="D835" s="11">
        <v>26.65</v>
      </c>
      <c r="E835" s="15">
        <v>3.1</v>
      </c>
      <c r="F835" s="12">
        <v>1.65</v>
      </c>
      <c r="G835" s="12">
        <v>2.02</v>
      </c>
      <c r="H835" s="9" t="s">
        <v>9</v>
      </c>
      <c r="I835" s="9" t="s">
        <v>27</v>
      </c>
      <c r="J835" s="9" t="s">
        <v>65</v>
      </c>
      <c r="K835"/>
      <c r="U835"/>
      <c r="V835"/>
    </row>
    <row r="836" spans="1:22" ht="18">
      <c r="A836" s="9">
        <f>IF(Table1[[#This Row],[کد کوپ]]&lt;1,0,A835+1)</f>
        <v>835</v>
      </c>
      <c r="B836" s="9">
        <v>162</v>
      </c>
      <c r="C836" s="10">
        <v>45728</v>
      </c>
      <c r="D836" s="11">
        <v>17.215</v>
      </c>
      <c r="E836" s="15">
        <v>2.5</v>
      </c>
      <c r="F836" s="12">
        <v>1.8</v>
      </c>
      <c r="G836" s="12">
        <v>1.35</v>
      </c>
      <c r="H836" s="9" t="s">
        <v>9</v>
      </c>
      <c r="I836" s="9" t="s">
        <v>27</v>
      </c>
      <c r="J836" s="9" t="s">
        <v>65</v>
      </c>
      <c r="K836"/>
      <c r="U836"/>
      <c r="V836"/>
    </row>
    <row r="837" spans="1:22" ht="18" hidden="1">
      <c r="A837" s="9">
        <f>IF(Table1[[#This Row],[کد کوپ]]&lt;1,0,A836+1)</f>
        <v>836</v>
      </c>
      <c r="B837" s="9">
        <v>163</v>
      </c>
      <c r="C837" s="10">
        <v>45728</v>
      </c>
      <c r="D837" s="11">
        <v>26.6</v>
      </c>
      <c r="E837" s="15">
        <v>2.8</v>
      </c>
      <c r="F837" s="12">
        <v>2</v>
      </c>
      <c r="G837" s="12">
        <v>1.8</v>
      </c>
      <c r="H837" s="9" t="s">
        <v>98</v>
      </c>
      <c r="I837" s="9" t="s">
        <v>10</v>
      </c>
      <c r="J837" s="9" t="s">
        <v>76</v>
      </c>
      <c r="K837"/>
      <c r="U837"/>
      <c r="V837"/>
    </row>
    <row r="838" spans="1:22" ht="18" hidden="1">
      <c r="A838" s="9">
        <f>IF(Table1[[#This Row],[کد کوپ]]&lt;1,0,A837+1)</f>
        <v>837</v>
      </c>
      <c r="B838" s="9">
        <v>164</v>
      </c>
      <c r="C838" s="10">
        <v>45728</v>
      </c>
      <c r="D838" s="11">
        <v>24.9</v>
      </c>
      <c r="E838" s="15">
        <v>3.1</v>
      </c>
      <c r="F838" s="12">
        <v>1.92</v>
      </c>
      <c r="G838" s="12">
        <v>1.6</v>
      </c>
      <c r="H838" s="9" t="s">
        <v>98</v>
      </c>
      <c r="I838" s="9" t="s">
        <v>10</v>
      </c>
      <c r="J838" s="9" t="s">
        <v>76</v>
      </c>
      <c r="K838"/>
      <c r="U838"/>
      <c r="V838"/>
    </row>
    <row r="839" spans="1:22" ht="18">
      <c r="A839" s="9">
        <f>IF(Table1[[#This Row],[کد کوپ]]&lt;1,0,A838+1)</f>
        <v>838</v>
      </c>
      <c r="B839" s="9">
        <v>165</v>
      </c>
      <c r="C839" s="10">
        <v>45728</v>
      </c>
      <c r="D839" s="11">
        <v>26.65</v>
      </c>
      <c r="E839" s="15">
        <v>3.08</v>
      </c>
      <c r="F839" s="12">
        <v>1.85</v>
      </c>
      <c r="G839" s="12">
        <v>1.85</v>
      </c>
      <c r="H839" s="9" t="s">
        <v>9</v>
      </c>
      <c r="I839" s="9" t="s">
        <v>27</v>
      </c>
      <c r="J839" s="9" t="s">
        <v>65</v>
      </c>
      <c r="K839"/>
      <c r="U839"/>
      <c r="V839"/>
    </row>
    <row r="840" spans="1:22" ht="18" hidden="1">
      <c r="A840" s="9">
        <f>IF(Table1[[#This Row],[کد کوپ]]&lt;1,0,A839+1)</f>
        <v>839</v>
      </c>
      <c r="B840" s="9">
        <v>166</v>
      </c>
      <c r="C840" s="10">
        <v>45729</v>
      </c>
      <c r="D840" s="11">
        <v>25.75</v>
      </c>
      <c r="E840" s="15">
        <v>2.95</v>
      </c>
      <c r="F840" s="12">
        <v>1.8</v>
      </c>
      <c r="G840" s="12">
        <v>1.8</v>
      </c>
      <c r="H840" s="9" t="s">
        <v>96</v>
      </c>
      <c r="I840" s="9" t="s">
        <v>10</v>
      </c>
      <c r="J840" s="9" t="s">
        <v>83</v>
      </c>
      <c r="K840"/>
      <c r="U840"/>
      <c r="V840"/>
    </row>
    <row r="841" spans="1:22" ht="18" hidden="1">
      <c r="A841" s="9">
        <f>IF(Table1[[#This Row],[کد کوپ]]&lt;1,0,A840+1)</f>
        <v>840</v>
      </c>
      <c r="B841" s="9">
        <v>167</v>
      </c>
      <c r="C841" s="10">
        <v>45732</v>
      </c>
      <c r="D841" s="11">
        <v>30.95</v>
      </c>
      <c r="E841" s="15">
        <v>3.23</v>
      </c>
      <c r="F841" s="12">
        <v>2.1</v>
      </c>
      <c r="G841" s="12">
        <v>1.7</v>
      </c>
      <c r="H841" s="9" t="s">
        <v>23</v>
      </c>
      <c r="I841" s="9" t="s">
        <v>24</v>
      </c>
      <c r="J841" s="9" t="s">
        <v>25</v>
      </c>
      <c r="K841"/>
      <c r="U841"/>
      <c r="V841"/>
    </row>
    <row r="842" spans="1:22" ht="18" hidden="1">
      <c r="A842" s="9">
        <f>IF(Table1[[#This Row],[کد کوپ]]&lt;1,0,A841+1)</f>
        <v>841</v>
      </c>
      <c r="B842" s="9">
        <v>168</v>
      </c>
      <c r="C842" s="10">
        <v>45733</v>
      </c>
      <c r="D842" s="11">
        <v>25.25</v>
      </c>
      <c r="E842" s="15">
        <v>2.65</v>
      </c>
      <c r="F842" s="12">
        <v>1.9</v>
      </c>
      <c r="G842" s="12">
        <v>1.9</v>
      </c>
      <c r="H842" s="9" t="s">
        <v>96</v>
      </c>
      <c r="I842" s="9" t="s">
        <v>10</v>
      </c>
      <c r="J842" s="9" t="s">
        <v>83</v>
      </c>
      <c r="K842"/>
      <c r="U842"/>
      <c r="V842"/>
    </row>
    <row r="843" spans="1:22" ht="18" hidden="1">
      <c r="A843" s="9">
        <f>IF(Table1[[#This Row],[کد کوپ]]&lt;1,0,A842+1)</f>
        <v>842</v>
      </c>
      <c r="B843" s="9">
        <v>169</v>
      </c>
      <c r="C843" s="10">
        <v>45753</v>
      </c>
      <c r="D843" s="11">
        <v>20.88</v>
      </c>
      <c r="E843" s="15">
        <v>3.05</v>
      </c>
      <c r="F843" s="12">
        <v>1.83</v>
      </c>
      <c r="G843" s="12">
        <v>1.5</v>
      </c>
      <c r="H843" s="9" t="s">
        <v>9</v>
      </c>
      <c r="I843" s="9" t="s">
        <v>10</v>
      </c>
      <c r="J843" s="9" t="s">
        <v>99</v>
      </c>
      <c r="K843"/>
      <c r="U843"/>
      <c r="V843"/>
    </row>
    <row r="844" spans="1:22" ht="18" hidden="1">
      <c r="A844" s="9">
        <f>IF(Table1[[#This Row],[کد کوپ]]&lt;1,0,A843+1)</f>
        <v>843</v>
      </c>
      <c r="B844" s="9">
        <v>170</v>
      </c>
      <c r="C844" s="10">
        <v>45753</v>
      </c>
      <c r="D844" s="11">
        <v>16.52</v>
      </c>
      <c r="E844" s="15">
        <v>2.4</v>
      </c>
      <c r="F844" s="12">
        <v>1.8</v>
      </c>
      <c r="G844" s="12">
        <v>1.45</v>
      </c>
      <c r="H844" s="9" t="s">
        <v>9</v>
      </c>
      <c r="I844" s="9" t="s">
        <v>10</v>
      </c>
      <c r="J844" s="9" t="s">
        <v>99</v>
      </c>
      <c r="K844"/>
      <c r="U844"/>
      <c r="V844"/>
    </row>
    <row r="845" spans="1:22" ht="18" hidden="1">
      <c r="A845" s="13">
        <f>IF(Table1[[#This Row],[کد کوپ]]&lt;1,0,A844+1)</f>
        <v>844</v>
      </c>
      <c r="B845" s="13">
        <v>171</v>
      </c>
      <c r="C845" s="19">
        <v>45753</v>
      </c>
      <c r="D845" s="20">
        <v>16.399999999999999</v>
      </c>
      <c r="E845" s="21">
        <v>2.2000000000000002</v>
      </c>
      <c r="F845" s="22">
        <v>1.8</v>
      </c>
      <c r="G845" s="22">
        <v>1.63</v>
      </c>
      <c r="H845" s="13" t="s">
        <v>9</v>
      </c>
      <c r="I845" s="13" t="s">
        <v>10</v>
      </c>
      <c r="J845" s="13" t="s">
        <v>99</v>
      </c>
      <c r="K845"/>
      <c r="U845"/>
      <c r="V845"/>
    </row>
    <row r="846" spans="1:22" ht="18" hidden="1">
      <c r="A846" s="9">
        <f>IF(Table1[[#This Row],[کد کوپ]]&lt;1,0,A845+1)</f>
        <v>845</v>
      </c>
      <c r="B846" s="9">
        <v>172</v>
      </c>
      <c r="C846" s="10">
        <v>45753</v>
      </c>
      <c r="D846" s="11">
        <v>24.15</v>
      </c>
      <c r="E846" s="15">
        <v>2.95</v>
      </c>
      <c r="F846" s="12">
        <v>1.83</v>
      </c>
      <c r="G846" s="12">
        <v>1.7</v>
      </c>
      <c r="H846" s="9" t="s">
        <v>9</v>
      </c>
      <c r="I846" s="9" t="s">
        <v>10</v>
      </c>
      <c r="J846" s="9" t="s">
        <v>99</v>
      </c>
      <c r="K846"/>
      <c r="U846"/>
      <c r="V846"/>
    </row>
    <row r="847" spans="1:22" ht="18" hidden="1">
      <c r="A847" s="5">
        <f>IF(Table1[[#This Row],[کد کوپ]]&lt;1,0,A846+1)</f>
        <v>846</v>
      </c>
      <c r="B847" s="5">
        <v>173</v>
      </c>
      <c r="C847" s="6">
        <v>45753</v>
      </c>
      <c r="D847" s="7">
        <v>23.3</v>
      </c>
      <c r="E847" s="23">
        <v>2.5</v>
      </c>
      <c r="F847" s="8">
        <v>1.85</v>
      </c>
      <c r="G847" s="8">
        <v>1.8</v>
      </c>
      <c r="H847" s="5" t="s">
        <v>9</v>
      </c>
      <c r="I847" s="5" t="s">
        <v>10</v>
      </c>
      <c r="J847" s="5" t="s">
        <v>99</v>
      </c>
      <c r="K847"/>
      <c r="U847"/>
      <c r="V847"/>
    </row>
    <row r="848" spans="1:22" ht="18" hidden="1">
      <c r="A848" s="9">
        <f>IF(Table1[[#This Row],[کد کوپ]]&lt;1,0,A847+1)</f>
        <v>847</v>
      </c>
      <c r="B848" s="9">
        <v>174</v>
      </c>
      <c r="C848" s="10">
        <v>45754</v>
      </c>
      <c r="D848" s="11">
        <v>29.9</v>
      </c>
      <c r="E848" s="15">
        <v>2.9</v>
      </c>
      <c r="F848" s="12">
        <v>1.95</v>
      </c>
      <c r="G848" s="12">
        <v>1.95</v>
      </c>
      <c r="H848" s="9" t="s">
        <v>9</v>
      </c>
      <c r="I848" s="9" t="s">
        <v>10</v>
      </c>
      <c r="J848" s="9" t="s">
        <v>99</v>
      </c>
      <c r="K848"/>
      <c r="U848"/>
      <c r="V848"/>
    </row>
    <row r="849" spans="1:22" ht="18" hidden="1">
      <c r="A849" s="9">
        <f>IF(Table1[[#This Row],[کد کوپ]]&lt;1,0,A848+1)</f>
        <v>848</v>
      </c>
      <c r="B849" s="9">
        <v>175</v>
      </c>
      <c r="C849" s="10">
        <v>45754</v>
      </c>
      <c r="D849" s="11">
        <v>20.9</v>
      </c>
      <c r="E849" s="15">
        <v>2.9</v>
      </c>
      <c r="F849" s="12">
        <v>1.5</v>
      </c>
      <c r="G849" s="12">
        <v>1.8</v>
      </c>
      <c r="H849" s="9" t="s">
        <v>9</v>
      </c>
      <c r="I849" s="9" t="s">
        <v>10</v>
      </c>
      <c r="J849" s="9" t="s">
        <v>99</v>
      </c>
      <c r="K849"/>
      <c r="U849"/>
      <c r="V849"/>
    </row>
    <row r="850" spans="1:22" ht="18" hidden="1">
      <c r="A850" s="9">
        <f>IF(Table1[[#This Row],[کد کوپ]]&lt;1,0,A849+1)</f>
        <v>849</v>
      </c>
      <c r="B850" s="9">
        <v>176</v>
      </c>
      <c r="C850" s="10">
        <v>45754</v>
      </c>
      <c r="D850" s="11">
        <v>21.39</v>
      </c>
      <c r="E850" s="15">
        <v>2.94</v>
      </c>
      <c r="F850" s="12">
        <v>1.82</v>
      </c>
      <c r="G850" s="12">
        <v>1.5</v>
      </c>
      <c r="H850" s="9" t="s">
        <v>9</v>
      </c>
      <c r="I850" s="9" t="s">
        <v>10</v>
      </c>
      <c r="J850" s="9" t="s">
        <v>99</v>
      </c>
      <c r="K850"/>
      <c r="U850"/>
      <c r="V850"/>
    </row>
    <row r="851" spans="1:22" ht="18" hidden="1">
      <c r="A851" s="9">
        <f>IF(Table1[[#This Row],[کد کوپ]]&lt;1,0,A850+1)</f>
        <v>850</v>
      </c>
      <c r="B851" s="9">
        <v>177</v>
      </c>
      <c r="C851" s="10">
        <v>45754</v>
      </c>
      <c r="D851" s="11">
        <v>15.68</v>
      </c>
      <c r="E851" s="15">
        <v>2</v>
      </c>
      <c r="F851" s="12">
        <v>1.7</v>
      </c>
      <c r="G851" s="12">
        <v>1.75</v>
      </c>
      <c r="H851" s="9" t="s">
        <v>9</v>
      </c>
      <c r="I851" s="9" t="s">
        <v>10</v>
      </c>
      <c r="J851" s="9" t="s">
        <v>99</v>
      </c>
      <c r="K851"/>
      <c r="U851"/>
      <c r="V851"/>
    </row>
    <row r="852" spans="1:22" ht="18" hidden="1">
      <c r="A852" s="9">
        <f>IF(Table1[[#This Row],[کد کوپ]]&lt;1,0,A851+1)</f>
        <v>851</v>
      </c>
      <c r="B852" s="9">
        <v>178</v>
      </c>
      <c r="C852" s="10">
        <v>45754</v>
      </c>
      <c r="D852" s="11">
        <v>11.14</v>
      </c>
      <c r="E852" s="15">
        <v>2.64</v>
      </c>
      <c r="F852" s="12">
        <v>1.35</v>
      </c>
      <c r="G852" s="12">
        <v>1.22</v>
      </c>
      <c r="H852" s="9" t="s">
        <v>9</v>
      </c>
      <c r="I852" s="9" t="s">
        <v>10</v>
      </c>
      <c r="J852" s="9" t="s">
        <v>99</v>
      </c>
      <c r="K852"/>
      <c r="U852"/>
      <c r="V852"/>
    </row>
    <row r="853" spans="1:22" ht="18" hidden="1">
      <c r="A853" s="9">
        <f>IF(Table1[[#This Row],[کد کوپ]]&lt;1,0,A852+1)</f>
        <v>852</v>
      </c>
      <c r="B853" s="9">
        <v>179</v>
      </c>
      <c r="C853" s="10">
        <v>45754</v>
      </c>
      <c r="D853" s="11">
        <v>17.725000000000001</v>
      </c>
      <c r="E853" s="15">
        <v>2.0699999999999998</v>
      </c>
      <c r="F853" s="12">
        <v>1.8</v>
      </c>
      <c r="G853" s="12">
        <v>1.8</v>
      </c>
      <c r="H853" s="9" t="s">
        <v>9</v>
      </c>
      <c r="I853" s="9" t="s">
        <v>10</v>
      </c>
      <c r="J853" s="9" t="s">
        <v>99</v>
      </c>
      <c r="K853"/>
      <c r="U853"/>
      <c r="V853"/>
    </row>
    <row r="854" spans="1:22" ht="18" hidden="1">
      <c r="A854" s="9">
        <f>IF(Table1[[#This Row],[کد کوپ]]&lt;1,0,A853+1)</f>
        <v>853</v>
      </c>
      <c r="B854" s="9">
        <v>180</v>
      </c>
      <c r="C854" s="10">
        <v>45754</v>
      </c>
      <c r="D854" s="11">
        <v>9.0850000000000009</v>
      </c>
      <c r="E854" s="15">
        <v>2.1</v>
      </c>
      <c r="F854" s="12">
        <v>1.5</v>
      </c>
      <c r="G854" s="12">
        <v>1.1000000000000001</v>
      </c>
      <c r="H854" s="9" t="s">
        <v>9</v>
      </c>
      <c r="I854" s="9" t="s">
        <v>10</v>
      </c>
      <c r="J854" s="9" t="s">
        <v>99</v>
      </c>
      <c r="K854"/>
      <c r="U854"/>
      <c r="V854"/>
    </row>
    <row r="855" spans="1:22" ht="18" hidden="1">
      <c r="A855" s="9">
        <f>IF(Table1[[#This Row],[کد کوپ]]&lt;1,0,A854+1)</f>
        <v>854</v>
      </c>
      <c r="B855" s="9">
        <v>181</v>
      </c>
      <c r="C855" s="10">
        <v>45755</v>
      </c>
      <c r="D855" s="11">
        <v>14.3</v>
      </c>
      <c r="E855" s="15">
        <v>2.1</v>
      </c>
      <c r="F855" s="12">
        <v>1.83</v>
      </c>
      <c r="G855" s="12">
        <v>1.45</v>
      </c>
      <c r="H855" s="9" t="s">
        <v>9</v>
      </c>
      <c r="I855" s="9" t="s">
        <v>10</v>
      </c>
      <c r="J855" s="9" t="s">
        <v>99</v>
      </c>
      <c r="K855"/>
      <c r="U855"/>
      <c r="V855"/>
    </row>
    <row r="856" spans="1:22" ht="18" hidden="1">
      <c r="A856" s="9">
        <f>IF(Table1[[#This Row],[کد کوپ]]&lt;1,0,A855+1)</f>
        <v>855</v>
      </c>
      <c r="B856" s="9">
        <v>182</v>
      </c>
      <c r="C856" s="10">
        <v>45755</v>
      </c>
      <c r="D856" s="11">
        <v>17</v>
      </c>
      <c r="E856" s="15">
        <v>2.1</v>
      </c>
      <c r="F856" s="12">
        <v>1.74</v>
      </c>
      <c r="G856" s="12">
        <v>1.8</v>
      </c>
      <c r="H856" s="9" t="s">
        <v>9</v>
      </c>
      <c r="I856" s="9" t="s">
        <v>10</v>
      </c>
      <c r="J856" s="9" t="s">
        <v>99</v>
      </c>
      <c r="K856"/>
      <c r="U856"/>
      <c r="V856"/>
    </row>
    <row r="857" spans="1:22" ht="18" hidden="1">
      <c r="A857" s="9">
        <f>IF(Table1[[#This Row],[کد کوپ]]&lt;1,0,A856+1)</f>
        <v>856</v>
      </c>
      <c r="B857" s="9">
        <v>183</v>
      </c>
      <c r="C857" s="10">
        <v>45756</v>
      </c>
      <c r="D857" s="11">
        <v>26.29</v>
      </c>
      <c r="E857" s="15">
        <v>2.95</v>
      </c>
      <c r="F857" s="12">
        <v>1.85</v>
      </c>
      <c r="G857" s="12">
        <v>1.85</v>
      </c>
      <c r="H857" s="9" t="s">
        <v>9</v>
      </c>
      <c r="I857" s="9" t="s">
        <v>10</v>
      </c>
      <c r="J857" s="9" t="s">
        <v>99</v>
      </c>
      <c r="K857"/>
      <c r="U857"/>
      <c r="V857"/>
    </row>
    <row r="858" spans="1:22" ht="18" hidden="1">
      <c r="A858" s="13">
        <f>IF(Table1[[#This Row],[کد کوپ]]&lt;1,0,A857+1)</f>
        <v>857</v>
      </c>
      <c r="B858" s="13">
        <v>184</v>
      </c>
      <c r="C858" s="19">
        <v>45756</v>
      </c>
      <c r="D858" s="20">
        <v>22.43</v>
      </c>
      <c r="E858" s="21">
        <v>3</v>
      </c>
      <c r="F858" s="22">
        <v>1.67</v>
      </c>
      <c r="G858" s="22">
        <v>1.8</v>
      </c>
      <c r="H858" s="13" t="s">
        <v>9</v>
      </c>
      <c r="I858" s="13" t="s">
        <v>10</v>
      </c>
      <c r="J858" s="13" t="s">
        <v>99</v>
      </c>
      <c r="K858"/>
      <c r="U858"/>
      <c r="V858"/>
    </row>
    <row r="859" spans="1:22" ht="18" hidden="1">
      <c r="A859" s="9">
        <f>IF(Table1[[#This Row],[کد کوپ]]&lt;1,0,A858+1)</f>
        <v>858</v>
      </c>
      <c r="B859" s="9">
        <v>185</v>
      </c>
      <c r="C859" s="19">
        <v>45757</v>
      </c>
      <c r="D859" s="11">
        <v>22.27</v>
      </c>
      <c r="E859" s="15">
        <v>2.97</v>
      </c>
      <c r="F859" s="12">
        <v>1.64</v>
      </c>
      <c r="G859" s="12">
        <v>1.78</v>
      </c>
      <c r="H859" s="9" t="s">
        <v>9</v>
      </c>
      <c r="I859" s="9" t="s">
        <v>10</v>
      </c>
      <c r="J859" s="9" t="s">
        <v>99</v>
      </c>
      <c r="K859"/>
      <c r="U859"/>
      <c r="V859"/>
    </row>
    <row r="860" spans="1:22" ht="18" hidden="1">
      <c r="A860" s="13">
        <f>IF(Table1[[#This Row],[کد کوپ]]&lt;1,0,A859+1)</f>
        <v>859</v>
      </c>
      <c r="B860" s="13">
        <v>186</v>
      </c>
      <c r="C860" s="19">
        <v>45757</v>
      </c>
      <c r="D860" s="11">
        <v>22.78</v>
      </c>
      <c r="E860" s="15">
        <v>3.05</v>
      </c>
      <c r="F860" s="12">
        <v>1.63</v>
      </c>
      <c r="G860" s="12">
        <v>1.79</v>
      </c>
      <c r="H860" s="13" t="s">
        <v>9</v>
      </c>
      <c r="I860" s="13" t="s">
        <v>10</v>
      </c>
      <c r="J860" s="13" t="s">
        <v>99</v>
      </c>
      <c r="K860"/>
      <c r="U860"/>
      <c r="V860"/>
    </row>
    <row r="861" spans="1:22" ht="18" hidden="1">
      <c r="A861" s="9">
        <f>IF(Table1[[#This Row],[کد کوپ]]&lt;1,0,A860+1)</f>
        <v>860</v>
      </c>
      <c r="B861" s="9">
        <v>187</v>
      </c>
      <c r="C861" s="19">
        <v>45759</v>
      </c>
      <c r="D861" s="11">
        <v>26.44</v>
      </c>
      <c r="E861" s="15">
        <v>3</v>
      </c>
      <c r="F861" s="12">
        <v>1.8</v>
      </c>
      <c r="G861" s="12">
        <v>1.8</v>
      </c>
      <c r="H861" s="9" t="s">
        <v>9</v>
      </c>
      <c r="I861" s="9" t="s">
        <v>10</v>
      </c>
      <c r="J861" s="9" t="s">
        <v>99</v>
      </c>
      <c r="K861"/>
      <c r="U861"/>
      <c r="V861"/>
    </row>
    <row r="862" spans="1:22" ht="18" hidden="1">
      <c r="A862" s="13">
        <f>IF(Table1[[#This Row],[کد کوپ]]&lt;1,0,A861+1)</f>
        <v>861</v>
      </c>
      <c r="B862" s="13">
        <v>188</v>
      </c>
      <c r="C862" s="19">
        <v>45759</v>
      </c>
      <c r="D862" s="11">
        <v>20.52</v>
      </c>
      <c r="E862" s="15">
        <v>2.75</v>
      </c>
      <c r="F862" s="12">
        <v>1.85</v>
      </c>
      <c r="G862" s="12">
        <v>1.55</v>
      </c>
      <c r="H862" s="13" t="s">
        <v>9</v>
      </c>
      <c r="I862" s="13" t="s">
        <v>10</v>
      </c>
      <c r="J862" s="13" t="s">
        <v>99</v>
      </c>
      <c r="K862"/>
      <c r="U862"/>
      <c r="V862"/>
    </row>
    <row r="863" spans="1:22" ht="18" hidden="1">
      <c r="A863" s="9">
        <f>IF(Table1[[#This Row],[کد کوپ]]&lt;1,0,A862+1)</f>
        <v>862</v>
      </c>
      <c r="B863" s="9">
        <v>189</v>
      </c>
      <c r="C863" s="19">
        <v>45759</v>
      </c>
      <c r="D863" s="11">
        <v>20.29</v>
      </c>
      <c r="E863" s="15">
        <v>3.1</v>
      </c>
      <c r="F863" s="12">
        <v>1.94</v>
      </c>
      <c r="G863" s="12">
        <v>1.3</v>
      </c>
      <c r="H863" s="9" t="s">
        <v>9</v>
      </c>
      <c r="I863" s="9" t="s">
        <v>10</v>
      </c>
      <c r="J863" s="9" t="s">
        <v>99</v>
      </c>
      <c r="K863"/>
      <c r="U863"/>
      <c r="V863"/>
    </row>
    <row r="864" spans="1:22" ht="18" hidden="1">
      <c r="A864" s="9">
        <f>IF(Table1[[#This Row],[کد کوپ]]&lt;1,0,A863+1)</f>
        <v>863</v>
      </c>
      <c r="B864" s="9">
        <v>190</v>
      </c>
      <c r="C864" s="19">
        <v>45760</v>
      </c>
      <c r="D864" s="11">
        <v>26.105</v>
      </c>
      <c r="E864" s="15">
        <v>3</v>
      </c>
      <c r="F864" s="12">
        <v>1.82</v>
      </c>
      <c r="G864" s="12">
        <v>1.76</v>
      </c>
      <c r="H864" s="9" t="s">
        <v>9</v>
      </c>
      <c r="I864" s="9" t="s">
        <v>10</v>
      </c>
      <c r="J864" s="9" t="s">
        <v>99</v>
      </c>
      <c r="K864"/>
      <c r="U864"/>
      <c r="V864"/>
    </row>
    <row r="865" spans="1:22" ht="18" hidden="1">
      <c r="A865" s="9">
        <f>IF(Table1[[#This Row],[کد کوپ]]&lt;1,0,A864+1)</f>
        <v>864</v>
      </c>
      <c r="B865" s="9">
        <v>191</v>
      </c>
      <c r="C865" s="19">
        <v>45763</v>
      </c>
      <c r="D865" s="11">
        <v>24.26</v>
      </c>
      <c r="E865" s="15">
        <v>3.03</v>
      </c>
      <c r="F865" s="12">
        <v>0.7</v>
      </c>
      <c r="G865" s="12">
        <v>1.7</v>
      </c>
      <c r="H865" s="9" t="s">
        <v>9</v>
      </c>
      <c r="I865" s="9" t="s">
        <v>10</v>
      </c>
      <c r="J865" s="9" t="s">
        <v>99</v>
      </c>
      <c r="K865"/>
      <c r="U865"/>
      <c r="V865"/>
    </row>
    <row r="866" spans="1:22" ht="18">
      <c r="A866" s="9">
        <f>IF(Table1[[#This Row],[کد کوپ]]&lt;1,0,A865+1)</f>
        <v>865</v>
      </c>
      <c r="B866" s="9">
        <v>192</v>
      </c>
      <c r="C866" s="19">
        <v>45763</v>
      </c>
      <c r="D866" s="11">
        <v>24.824999999999999</v>
      </c>
      <c r="E866" s="15">
        <v>3</v>
      </c>
      <c r="F866" s="12">
        <v>1.65</v>
      </c>
      <c r="G866" s="12">
        <v>1.8</v>
      </c>
      <c r="H866" s="9" t="s">
        <v>9</v>
      </c>
      <c r="I866" s="9" t="s">
        <v>27</v>
      </c>
      <c r="J866" s="9" t="s">
        <v>65</v>
      </c>
      <c r="K866"/>
      <c r="U866"/>
      <c r="V866"/>
    </row>
    <row r="867" spans="1:22" ht="18" hidden="1">
      <c r="A867" s="9">
        <f>IF(Table1[[#This Row],[کد کوپ]]&lt;1,0,A866+1)</f>
        <v>866</v>
      </c>
      <c r="B867" s="9">
        <v>193</v>
      </c>
      <c r="C867" s="19">
        <v>45763</v>
      </c>
      <c r="D867" s="11">
        <v>23.11</v>
      </c>
      <c r="E867" s="15">
        <v>2.97</v>
      </c>
      <c r="F867" s="12">
        <v>1.7</v>
      </c>
      <c r="G867" s="12">
        <v>1.74</v>
      </c>
      <c r="H867" s="9" t="s">
        <v>100</v>
      </c>
      <c r="I867" s="9" t="s">
        <v>10</v>
      </c>
      <c r="J867" s="9" t="s">
        <v>101</v>
      </c>
      <c r="K867"/>
      <c r="U867"/>
      <c r="V867"/>
    </row>
    <row r="868" spans="1:22" ht="18">
      <c r="A868" s="9">
        <f>IF(Table1[[#This Row],[کد کوپ]]&lt;1,0,A867+1)</f>
        <v>867</v>
      </c>
      <c r="B868" s="9">
        <v>194</v>
      </c>
      <c r="C868" s="19">
        <v>45763</v>
      </c>
      <c r="D868" s="11">
        <v>22.43</v>
      </c>
      <c r="E868" s="15">
        <v>2.98</v>
      </c>
      <c r="F868" s="12">
        <v>1.45</v>
      </c>
      <c r="G868" s="12">
        <v>1.8</v>
      </c>
      <c r="H868" s="9" t="s">
        <v>9</v>
      </c>
      <c r="I868" s="9" t="s">
        <v>27</v>
      </c>
      <c r="J868" s="9" t="s">
        <v>65</v>
      </c>
      <c r="K868"/>
      <c r="U868"/>
      <c r="V868"/>
    </row>
    <row r="869" spans="1:22" ht="18">
      <c r="A869" s="9">
        <f>IF(Table1[[#This Row],[کد کوپ]]&lt;1,0,A868+1)</f>
        <v>868</v>
      </c>
      <c r="B869" s="9">
        <v>195</v>
      </c>
      <c r="C869" s="19">
        <v>45763</v>
      </c>
      <c r="D869" s="11">
        <v>25.13</v>
      </c>
      <c r="E869" s="15">
        <v>2.97</v>
      </c>
      <c r="F869" s="12">
        <v>1.52</v>
      </c>
      <c r="G869" s="12">
        <v>1.94</v>
      </c>
      <c r="H869" s="9" t="s">
        <v>9</v>
      </c>
      <c r="I869" s="9" t="s">
        <v>27</v>
      </c>
      <c r="J869" s="9" t="s">
        <v>65</v>
      </c>
      <c r="K869"/>
      <c r="U869"/>
      <c r="V869"/>
    </row>
    <row r="870" spans="1:22" ht="18" hidden="1">
      <c r="A870" s="9">
        <f>IF(Table1[[#This Row],[کد کوپ]]&lt;1,0,A869+1)</f>
        <v>869</v>
      </c>
      <c r="B870" s="9">
        <v>196</v>
      </c>
      <c r="C870" s="19">
        <v>45763</v>
      </c>
      <c r="D870" s="11">
        <v>21.355</v>
      </c>
      <c r="E870" s="15">
        <v>2.9</v>
      </c>
      <c r="F870" s="12">
        <v>1.96</v>
      </c>
      <c r="G870" s="12">
        <v>1.4</v>
      </c>
      <c r="H870" s="9" t="s">
        <v>102</v>
      </c>
      <c r="I870" s="9" t="s">
        <v>10</v>
      </c>
      <c r="J870" s="9" t="s">
        <v>22</v>
      </c>
      <c r="K870"/>
      <c r="U870"/>
      <c r="V870"/>
    </row>
    <row r="871" spans="1:22" ht="18">
      <c r="A871" s="9">
        <f>IF(Table1[[#This Row],[کد کوپ]]&lt;1,0,A870+1)</f>
        <v>870</v>
      </c>
      <c r="B871" s="9">
        <v>197</v>
      </c>
      <c r="C871" s="19">
        <v>45763</v>
      </c>
      <c r="D871" s="11">
        <v>9.09</v>
      </c>
      <c r="E871" s="15">
        <v>1.9</v>
      </c>
      <c r="F871" s="12">
        <v>1.08</v>
      </c>
      <c r="G871" s="12">
        <v>1.55</v>
      </c>
      <c r="H871" s="9" t="s">
        <v>9</v>
      </c>
      <c r="I871" s="9" t="s">
        <v>27</v>
      </c>
      <c r="J871" s="9" t="s">
        <v>65</v>
      </c>
      <c r="K871"/>
      <c r="U871"/>
      <c r="V871"/>
    </row>
    <row r="872" spans="1:22" ht="18">
      <c r="A872" s="9">
        <f>IF(Table1[[#This Row],[کد کوپ]]&lt;1,0,A871+1)</f>
        <v>871</v>
      </c>
      <c r="B872" s="9">
        <v>198</v>
      </c>
      <c r="C872" s="19">
        <v>45763</v>
      </c>
      <c r="D872" s="11">
        <v>19.68</v>
      </c>
      <c r="E872" s="15">
        <v>2.2999999999999998</v>
      </c>
      <c r="F872" s="12">
        <v>1.6</v>
      </c>
      <c r="G872" s="12">
        <v>1.84</v>
      </c>
      <c r="H872" s="9" t="s">
        <v>9</v>
      </c>
      <c r="I872" s="9" t="s">
        <v>27</v>
      </c>
      <c r="J872" s="9" t="s">
        <v>65</v>
      </c>
      <c r="K872"/>
      <c r="U872"/>
      <c r="V872"/>
    </row>
    <row r="873" spans="1:22" ht="18">
      <c r="A873" s="9">
        <f>IF(Table1[[#This Row],[کد کوپ]]&lt;1,0,A872+1)</f>
        <v>872</v>
      </c>
      <c r="B873" s="9">
        <v>199</v>
      </c>
      <c r="C873" s="19">
        <v>45764</v>
      </c>
      <c r="D873" s="11">
        <v>12.75</v>
      </c>
      <c r="E873" s="15">
        <v>2.5</v>
      </c>
      <c r="F873" s="12">
        <v>1.62</v>
      </c>
      <c r="G873" s="12">
        <v>1.1599999999999999</v>
      </c>
      <c r="H873" s="9" t="s">
        <v>85</v>
      </c>
      <c r="I873" s="9" t="s">
        <v>27</v>
      </c>
      <c r="J873" s="9" t="s">
        <v>90</v>
      </c>
      <c r="K873"/>
      <c r="U873"/>
      <c r="V873"/>
    </row>
    <row r="874" spans="1:22" ht="18">
      <c r="A874" s="9">
        <f>IF(Table1[[#This Row],[کد کوپ]]&lt;1,0,A873+1)</f>
        <v>873</v>
      </c>
      <c r="B874" s="9">
        <v>200</v>
      </c>
      <c r="C874" s="19">
        <v>45764</v>
      </c>
      <c r="D874" s="11">
        <v>10.824999999999999</v>
      </c>
      <c r="E874" s="15">
        <v>3.18</v>
      </c>
      <c r="F874" s="12">
        <v>1.68</v>
      </c>
      <c r="G874" s="12">
        <v>0.75</v>
      </c>
      <c r="H874" s="9" t="s">
        <v>85</v>
      </c>
      <c r="I874" s="9" t="s">
        <v>27</v>
      </c>
      <c r="J874" s="9" t="s">
        <v>90</v>
      </c>
      <c r="K874"/>
      <c r="U874"/>
      <c r="V874"/>
    </row>
    <row r="875" spans="1:22" ht="18" hidden="1">
      <c r="A875" s="9">
        <f>IF(Table1[[#This Row],[کد کوپ]]&lt;1,0,A874+1)</f>
        <v>874</v>
      </c>
      <c r="B875" s="9">
        <v>201</v>
      </c>
      <c r="C875" s="19">
        <v>45764</v>
      </c>
      <c r="D875" s="11">
        <v>19.3</v>
      </c>
      <c r="E875" s="15">
        <v>3.02</v>
      </c>
      <c r="F875" s="12">
        <v>1.6</v>
      </c>
      <c r="G875" s="12">
        <v>1.5</v>
      </c>
      <c r="H875" s="9" t="s">
        <v>9</v>
      </c>
      <c r="I875" s="9" t="s">
        <v>10</v>
      </c>
      <c r="J875" s="9" t="s">
        <v>99</v>
      </c>
      <c r="K875"/>
      <c r="U875"/>
      <c r="V875"/>
    </row>
    <row r="876" spans="1:22" ht="18" hidden="1">
      <c r="A876" s="9">
        <f>IF(Table1[[#This Row],[کد کوپ]]&lt;1,0,A875+1)</f>
        <v>875</v>
      </c>
      <c r="B876" s="9">
        <v>202</v>
      </c>
      <c r="C876" s="19">
        <v>45764</v>
      </c>
      <c r="D876" s="11">
        <v>27.12</v>
      </c>
      <c r="E876" s="15">
        <v>3</v>
      </c>
      <c r="F876" s="12">
        <v>1.96</v>
      </c>
      <c r="G876" s="12">
        <v>1.75</v>
      </c>
      <c r="H876" s="9" t="s">
        <v>9</v>
      </c>
      <c r="I876" s="9" t="s">
        <v>10</v>
      </c>
      <c r="J876" s="9" t="s">
        <v>99</v>
      </c>
      <c r="K876"/>
      <c r="U876"/>
      <c r="V876"/>
    </row>
    <row r="877" spans="1:22" ht="18">
      <c r="A877" s="9">
        <f>IF(Table1[[#This Row],[کد کوپ]]&lt;1,0,A876+1)</f>
        <v>876</v>
      </c>
      <c r="B877" s="9">
        <v>203</v>
      </c>
      <c r="C877" s="19">
        <v>45764</v>
      </c>
      <c r="D877" s="11">
        <v>13.98</v>
      </c>
      <c r="E877" s="15">
        <v>2.5</v>
      </c>
      <c r="F877" s="12">
        <v>1.63</v>
      </c>
      <c r="G877" s="12">
        <v>1.25</v>
      </c>
      <c r="H877" s="9" t="s">
        <v>85</v>
      </c>
      <c r="I877" s="9" t="s">
        <v>27</v>
      </c>
      <c r="J877" s="9" t="s">
        <v>90</v>
      </c>
      <c r="K877"/>
      <c r="U877"/>
      <c r="V877"/>
    </row>
    <row r="878" spans="1:22" ht="18">
      <c r="A878" s="9">
        <f>IF(Table1[[#This Row],[کد کوپ]]&lt;1,0,A877+1)</f>
        <v>877</v>
      </c>
      <c r="B878" s="9">
        <v>204</v>
      </c>
      <c r="C878" s="19">
        <v>45764</v>
      </c>
      <c r="D878" s="11">
        <v>11.035</v>
      </c>
      <c r="E878" s="15">
        <v>3.17</v>
      </c>
      <c r="F878" s="12">
        <v>1.74</v>
      </c>
      <c r="G878" s="12">
        <v>0.78</v>
      </c>
      <c r="H878" s="9" t="s">
        <v>85</v>
      </c>
      <c r="I878" s="9" t="s">
        <v>27</v>
      </c>
      <c r="J878" s="9" t="s">
        <v>90</v>
      </c>
      <c r="K878"/>
      <c r="U878"/>
      <c r="V878"/>
    </row>
    <row r="879" spans="1:22" ht="18" hidden="1">
      <c r="A879" s="9">
        <f>IF(Table1[[#This Row],[کد کوپ]]&lt;1,0,A878+1)</f>
        <v>878</v>
      </c>
      <c r="B879" s="9">
        <v>205</v>
      </c>
      <c r="C879" s="19">
        <v>45764</v>
      </c>
      <c r="D879" s="11">
        <v>21.675000000000001</v>
      </c>
      <c r="E879" s="15">
        <v>2.8</v>
      </c>
      <c r="F879" s="12">
        <v>2.0099999999999998</v>
      </c>
      <c r="G879" s="12">
        <v>1.43</v>
      </c>
      <c r="H879" s="9" t="s">
        <v>102</v>
      </c>
      <c r="I879" s="9" t="s">
        <v>10</v>
      </c>
      <c r="J879" s="9" t="s">
        <v>22</v>
      </c>
      <c r="K879"/>
      <c r="U879"/>
      <c r="V879"/>
    </row>
    <row r="880" spans="1:22" ht="18" hidden="1">
      <c r="A880" s="9">
        <f>IF(Table1[[#This Row],[کد کوپ]]&lt;1,0,A879+1)</f>
        <v>879</v>
      </c>
      <c r="B880" s="9">
        <v>206</v>
      </c>
      <c r="C880" s="19">
        <v>45764</v>
      </c>
      <c r="D880" s="11">
        <v>27.4</v>
      </c>
      <c r="E880" s="15">
        <v>2.95</v>
      </c>
      <c r="F880" s="12">
        <v>1.99</v>
      </c>
      <c r="G880" s="12">
        <v>1.74</v>
      </c>
      <c r="H880" s="9" t="s">
        <v>102</v>
      </c>
      <c r="I880" s="9" t="s">
        <v>10</v>
      </c>
      <c r="J880" s="9" t="s">
        <v>22</v>
      </c>
      <c r="K880"/>
      <c r="U880"/>
      <c r="V880"/>
    </row>
    <row r="881" spans="1:22" ht="18">
      <c r="A881" s="9">
        <f>IF(Table1[[#This Row],[کد کوپ]]&lt;1,0,A880+1)</f>
        <v>880</v>
      </c>
      <c r="B881" s="9">
        <v>207</v>
      </c>
      <c r="C881" s="19">
        <v>45764</v>
      </c>
      <c r="D881" s="11">
        <v>27.8</v>
      </c>
      <c r="E881" s="15">
        <v>3.3</v>
      </c>
      <c r="F881" s="12">
        <v>1.7</v>
      </c>
      <c r="G881" s="12">
        <v>1.78</v>
      </c>
      <c r="H881" s="9" t="s">
        <v>9</v>
      </c>
      <c r="I881" s="9" t="s">
        <v>27</v>
      </c>
      <c r="J881" s="9" t="s">
        <v>65</v>
      </c>
      <c r="K881"/>
      <c r="U881"/>
      <c r="V881"/>
    </row>
    <row r="882" spans="1:22" ht="18" hidden="1">
      <c r="A882" s="9">
        <f>IF(Table1[[#This Row],[کد کوپ]]&lt;1,0,A881+1)</f>
        <v>881</v>
      </c>
      <c r="B882" s="9">
        <v>208</v>
      </c>
      <c r="C882" s="19">
        <v>45764</v>
      </c>
      <c r="D882" s="11">
        <v>14.29</v>
      </c>
      <c r="E882" s="15">
        <v>3.03</v>
      </c>
      <c r="F882" s="12">
        <v>1.75</v>
      </c>
      <c r="G882" s="12">
        <v>1.05</v>
      </c>
      <c r="H882" s="9" t="s">
        <v>102</v>
      </c>
      <c r="I882" s="9" t="s">
        <v>10</v>
      </c>
      <c r="J882" s="9" t="s">
        <v>22</v>
      </c>
      <c r="K882"/>
      <c r="U882"/>
      <c r="V882"/>
    </row>
    <row r="883" spans="1:22" ht="18" hidden="1">
      <c r="A883" s="9">
        <f>IF(Table1[[#This Row],[کد کوپ]]&lt;1,0,A882+1)</f>
        <v>882</v>
      </c>
      <c r="B883" s="9">
        <v>209</v>
      </c>
      <c r="C883" s="19">
        <v>45764</v>
      </c>
      <c r="D883" s="11">
        <v>18.13</v>
      </c>
      <c r="E883" s="15">
        <v>3.1</v>
      </c>
      <c r="F883" s="12">
        <v>2.12</v>
      </c>
      <c r="G883" s="12">
        <v>1.03</v>
      </c>
      <c r="H883" s="9" t="s">
        <v>102</v>
      </c>
      <c r="I883" s="9" t="s">
        <v>10</v>
      </c>
      <c r="J883" s="9" t="s">
        <v>22</v>
      </c>
      <c r="K883"/>
      <c r="U883"/>
      <c r="V883"/>
    </row>
    <row r="884" spans="1:22" ht="18">
      <c r="A884" s="9">
        <f>IF(Table1[[#This Row],[کد کوپ]]&lt;1,0,A883+1)</f>
        <v>883</v>
      </c>
      <c r="B884" s="9">
        <v>210</v>
      </c>
      <c r="C884" s="19">
        <v>45764</v>
      </c>
      <c r="D884" s="11">
        <v>7.55</v>
      </c>
      <c r="E884" s="15">
        <v>2.2999999999999998</v>
      </c>
      <c r="F884" s="12">
        <v>0.9</v>
      </c>
      <c r="G884" s="12">
        <v>1.28</v>
      </c>
      <c r="H884" s="9" t="s">
        <v>9</v>
      </c>
      <c r="I884" s="9" t="s">
        <v>27</v>
      </c>
      <c r="J884" s="9" t="s">
        <v>65</v>
      </c>
      <c r="K884"/>
      <c r="U884"/>
      <c r="V884"/>
    </row>
    <row r="885" spans="1:22" ht="18">
      <c r="A885" s="9">
        <f>IF(Table1[[#This Row],[کد کوپ]]&lt;1,0,A884+1)</f>
        <v>884</v>
      </c>
      <c r="B885" s="9">
        <v>211</v>
      </c>
      <c r="C885" s="19">
        <v>45764</v>
      </c>
      <c r="D885" s="11">
        <v>20.48</v>
      </c>
      <c r="E885" s="15">
        <v>2.93</v>
      </c>
      <c r="F885" s="12">
        <v>1.4</v>
      </c>
      <c r="G885" s="12">
        <v>1.76</v>
      </c>
      <c r="H885" s="9" t="s">
        <v>9</v>
      </c>
      <c r="I885" s="9" t="s">
        <v>27</v>
      </c>
      <c r="J885" s="9" t="s">
        <v>65</v>
      </c>
      <c r="K885"/>
      <c r="U885"/>
      <c r="V885"/>
    </row>
    <row r="886" spans="1:22" ht="18" hidden="1">
      <c r="A886" s="9">
        <f>IF(Table1[[#This Row],[کد کوپ]]&lt;1,0,A885+1)</f>
        <v>885</v>
      </c>
      <c r="B886" s="9">
        <v>212</v>
      </c>
      <c r="C886" s="19">
        <v>45766</v>
      </c>
      <c r="D886" s="11">
        <v>20.495000000000001</v>
      </c>
      <c r="E886" s="15">
        <v>2.4700000000000002</v>
      </c>
      <c r="F886" s="12">
        <v>1.7</v>
      </c>
      <c r="G886" s="12">
        <v>1.75</v>
      </c>
      <c r="H886" s="9" t="s">
        <v>9</v>
      </c>
      <c r="I886" s="9" t="s">
        <v>10</v>
      </c>
      <c r="J886" s="9" t="s">
        <v>99</v>
      </c>
      <c r="K886"/>
      <c r="U886"/>
      <c r="V886"/>
    </row>
    <row r="887" spans="1:22" ht="18" hidden="1">
      <c r="A887" s="9">
        <f>IF(Table1[[#This Row],[کد کوپ]]&lt;1,0,A886+1)</f>
        <v>886</v>
      </c>
      <c r="B887" s="9">
        <v>213</v>
      </c>
      <c r="C887" s="19">
        <v>45766</v>
      </c>
      <c r="D887" s="11">
        <v>21.95</v>
      </c>
      <c r="E887" s="15">
        <v>2.9</v>
      </c>
      <c r="F887" s="12">
        <v>1.86</v>
      </c>
      <c r="G887" s="12">
        <v>1.45</v>
      </c>
      <c r="H887" s="9" t="s">
        <v>9</v>
      </c>
      <c r="I887" s="9" t="s">
        <v>10</v>
      </c>
      <c r="J887" s="9" t="s">
        <v>99</v>
      </c>
      <c r="K887"/>
      <c r="U887"/>
      <c r="V887"/>
    </row>
    <row r="888" spans="1:22" ht="18">
      <c r="A888" s="9">
        <f>IF(Table1[[#This Row],[کد کوپ]]&lt;1,0,A887+1)</f>
        <v>887</v>
      </c>
      <c r="B888" s="9">
        <v>214</v>
      </c>
      <c r="C888" s="19">
        <v>45766</v>
      </c>
      <c r="D888" s="11">
        <v>21.68</v>
      </c>
      <c r="E888" s="15">
        <v>2.75</v>
      </c>
      <c r="F888" s="12">
        <v>1.75</v>
      </c>
      <c r="G888" s="12">
        <v>1.6</v>
      </c>
      <c r="H888" s="9" t="s">
        <v>9</v>
      </c>
      <c r="I888" s="9" t="s">
        <v>27</v>
      </c>
      <c r="J888" s="9" t="s">
        <v>65</v>
      </c>
      <c r="K888"/>
      <c r="U888"/>
      <c r="V888"/>
    </row>
    <row r="889" spans="1:22" ht="18">
      <c r="A889" s="9">
        <f>IF(Table1[[#This Row],[کد کوپ]]&lt;1,0,A888+1)</f>
        <v>888</v>
      </c>
      <c r="B889" s="9">
        <v>215</v>
      </c>
      <c r="C889" s="19">
        <v>45766</v>
      </c>
      <c r="D889" s="11">
        <v>20.6</v>
      </c>
      <c r="E889" s="15">
        <v>2.6</v>
      </c>
      <c r="F889" s="12">
        <v>1.8</v>
      </c>
      <c r="G889" s="12">
        <v>1.6</v>
      </c>
      <c r="H889" s="9" t="s">
        <v>9</v>
      </c>
      <c r="I889" s="9" t="s">
        <v>27</v>
      </c>
      <c r="J889" s="9" t="s">
        <v>65</v>
      </c>
      <c r="K889"/>
      <c r="U889"/>
      <c r="V889"/>
    </row>
    <row r="890" spans="1:22" ht="18">
      <c r="A890" s="9">
        <f>IF(Table1[[#This Row],[کد کوپ]]&lt;1,0,A889+1)</f>
        <v>889</v>
      </c>
      <c r="B890" s="9">
        <v>216</v>
      </c>
      <c r="C890" s="19">
        <v>45767</v>
      </c>
      <c r="D890" s="11">
        <v>19.95</v>
      </c>
      <c r="E890" s="15">
        <v>2.95</v>
      </c>
      <c r="F890" s="12">
        <v>1.87</v>
      </c>
      <c r="G890" s="12">
        <v>1.32</v>
      </c>
      <c r="H890" s="9" t="s">
        <v>9</v>
      </c>
      <c r="I890" s="9" t="s">
        <v>27</v>
      </c>
      <c r="J890" s="9" t="s">
        <v>65</v>
      </c>
      <c r="K890"/>
      <c r="U890"/>
      <c r="V890"/>
    </row>
    <row r="891" spans="1:22" ht="18" hidden="1">
      <c r="A891" s="9">
        <f>IF(Table1[[#This Row],[کد کوپ]]&lt;1,0,A890+1)</f>
        <v>890</v>
      </c>
      <c r="B891" s="9">
        <v>217</v>
      </c>
      <c r="C891" s="19">
        <v>45767</v>
      </c>
      <c r="D891" s="11">
        <v>24.26</v>
      </c>
      <c r="E891" s="15">
        <v>2.9</v>
      </c>
      <c r="F891" s="12">
        <v>1.96</v>
      </c>
      <c r="G891" s="12">
        <v>1.8</v>
      </c>
      <c r="H891" s="9" t="s">
        <v>9</v>
      </c>
      <c r="I891" s="9" t="s">
        <v>10</v>
      </c>
      <c r="J891" s="9" t="s">
        <v>101</v>
      </c>
      <c r="K891"/>
      <c r="U891"/>
      <c r="V891"/>
    </row>
    <row r="892" spans="1:22" ht="18" hidden="1">
      <c r="A892" s="9">
        <f>IF(Table1[[#This Row],[کد کوپ]]&lt;1,0,A891+1)</f>
        <v>891</v>
      </c>
      <c r="B892" s="9">
        <v>218</v>
      </c>
      <c r="C892" s="19">
        <v>45767</v>
      </c>
      <c r="D892" s="11">
        <v>21.945</v>
      </c>
      <c r="E892" s="15">
        <v>3</v>
      </c>
      <c r="F892" s="12">
        <v>1.9</v>
      </c>
      <c r="G892" s="12">
        <v>1.46</v>
      </c>
      <c r="H892" s="9" t="s">
        <v>9</v>
      </c>
      <c r="I892" s="9" t="s">
        <v>10</v>
      </c>
      <c r="J892" s="9" t="s">
        <v>101</v>
      </c>
      <c r="K892"/>
      <c r="U892"/>
      <c r="V892"/>
    </row>
    <row r="893" spans="1:22" ht="18">
      <c r="A893" s="9">
        <f>IF(Table1[[#This Row],[کد کوپ]]&lt;1,0,A892+1)</f>
        <v>892</v>
      </c>
      <c r="B893" s="9">
        <v>219</v>
      </c>
      <c r="C893" s="19">
        <v>45767</v>
      </c>
      <c r="D893" s="11">
        <v>13.9</v>
      </c>
      <c r="E893" s="15">
        <v>1.85</v>
      </c>
      <c r="F893" s="12">
        <v>1.6</v>
      </c>
      <c r="G893" s="12">
        <v>1.7</v>
      </c>
      <c r="H893" s="9" t="s">
        <v>9</v>
      </c>
      <c r="I893" s="9" t="s">
        <v>27</v>
      </c>
      <c r="J893" s="9" t="s">
        <v>65</v>
      </c>
      <c r="K893"/>
      <c r="U893"/>
      <c r="V893"/>
    </row>
    <row r="894" spans="1:22" ht="18">
      <c r="A894" s="9">
        <f>IF(Table1[[#This Row],[کد کوپ]]&lt;1,0,A893+1)</f>
        <v>893</v>
      </c>
      <c r="B894" s="9">
        <v>220</v>
      </c>
      <c r="C894" s="19">
        <v>45767</v>
      </c>
      <c r="D894" s="11">
        <v>16.75</v>
      </c>
      <c r="E894" s="15">
        <v>2.1</v>
      </c>
      <c r="F894" s="12">
        <v>1.7</v>
      </c>
      <c r="G894" s="12">
        <v>1.6</v>
      </c>
      <c r="H894" s="9" t="s">
        <v>9</v>
      </c>
      <c r="I894" s="9" t="s">
        <v>27</v>
      </c>
      <c r="J894" s="9" t="s">
        <v>65</v>
      </c>
      <c r="K894"/>
      <c r="U894"/>
      <c r="V894"/>
    </row>
    <row r="895" spans="1:22" ht="18" hidden="1">
      <c r="A895" s="9">
        <f>IF(Table1[[#This Row],[کد کوپ]]&lt;1,0,A894+1)</f>
        <v>894</v>
      </c>
      <c r="B895" s="9">
        <v>221</v>
      </c>
      <c r="C895" s="19">
        <v>45767</v>
      </c>
      <c r="D895" s="11">
        <v>25.035</v>
      </c>
      <c r="E895" s="15">
        <v>2.4700000000000002</v>
      </c>
      <c r="F895" s="12">
        <v>1.78</v>
      </c>
      <c r="G895" s="12">
        <v>2.0499999999999998</v>
      </c>
      <c r="H895" s="9" t="s">
        <v>9</v>
      </c>
      <c r="I895" s="9" t="s">
        <v>10</v>
      </c>
      <c r="J895" s="9" t="s">
        <v>101</v>
      </c>
      <c r="K895"/>
      <c r="U895"/>
      <c r="V895"/>
    </row>
    <row r="896" spans="1:22" ht="18">
      <c r="A896" s="9">
        <f>IF(Table1[[#This Row],[کد کوپ]]&lt;1,0,A895+1)</f>
        <v>895</v>
      </c>
      <c r="B896" s="9">
        <v>222</v>
      </c>
      <c r="C896" s="19">
        <v>45767</v>
      </c>
      <c r="D896" s="11">
        <v>22.83</v>
      </c>
      <c r="E896" s="15">
        <v>2.65</v>
      </c>
      <c r="F896" s="12">
        <v>1.7</v>
      </c>
      <c r="G896" s="12">
        <v>1.7</v>
      </c>
      <c r="H896" s="9" t="s">
        <v>9</v>
      </c>
      <c r="I896" s="9" t="s">
        <v>27</v>
      </c>
      <c r="J896" s="9" t="s">
        <v>65</v>
      </c>
      <c r="K896"/>
      <c r="U896"/>
      <c r="V896"/>
    </row>
    <row r="897" spans="1:22" ht="18">
      <c r="A897" s="9">
        <f>IF(Table1[[#This Row],[کد کوپ]]&lt;1,0,A896+1)</f>
        <v>896</v>
      </c>
      <c r="B897" s="9">
        <v>223</v>
      </c>
      <c r="C897" s="19">
        <v>45768</v>
      </c>
      <c r="D897" s="11">
        <v>13.72</v>
      </c>
      <c r="E897" s="15">
        <v>1.8</v>
      </c>
      <c r="F897" s="12">
        <v>1.75</v>
      </c>
      <c r="G897" s="12">
        <v>1.53</v>
      </c>
      <c r="H897" s="9" t="s">
        <v>9</v>
      </c>
      <c r="I897" s="9" t="s">
        <v>27</v>
      </c>
      <c r="J897" s="9" t="s">
        <v>65</v>
      </c>
      <c r="K897"/>
      <c r="U897"/>
      <c r="V897"/>
    </row>
    <row r="898" spans="1:22" ht="18">
      <c r="A898" s="9">
        <f>IF(Table1[[#This Row],[کد کوپ]]&lt;1,0,A897+1)</f>
        <v>897</v>
      </c>
      <c r="B898" s="9">
        <v>224</v>
      </c>
      <c r="C898" s="19">
        <v>45768</v>
      </c>
      <c r="D898" s="11">
        <v>14.46</v>
      </c>
      <c r="E898" s="15">
        <v>2.5</v>
      </c>
      <c r="F898" s="12">
        <v>1.3</v>
      </c>
      <c r="G898" s="12">
        <v>1.6</v>
      </c>
      <c r="H898" s="9" t="s">
        <v>9</v>
      </c>
      <c r="I898" s="9" t="s">
        <v>27</v>
      </c>
      <c r="J898" s="9" t="s">
        <v>65</v>
      </c>
      <c r="K898"/>
      <c r="U898"/>
      <c r="V898"/>
    </row>
    <row r="899" spans="1:22" ht="18">
      <c r="A899" s="9">
        <f>IF(Table1[[#This Row],[کد کوپ]]&lt;1,0,A898+1)</f>
        <v>898</v>
      </c>
      <c r="B899" s="9">
        <v>225</v>
      </c>
      <c r="C899" s="19">
        <v>45768</v>
      </c>
      <c r="D899" s="11">
        <v>15.38</v>
      </c>
      <c r="E899" s="15">
        <v>1.9</v>
      </c>
      <c r="F899" s="12">
        <v>1.7</v>
      </c>
      <c r="G899" s="12">
        <v>1.75</v>
      </c>
      <c r="H899" s="9" t="s">
        <v>9</v>
      </c>
      <c r="I899" s="9" t="s">
        <v>27</v>
      </c>
      <c r="J899" s="9" t="s">
        <v>65</v>
      </c>
      <c r="K899"/>
      <c r="U899"/>
      <c r="V899"/>
    </row>
    <row r="900" spans="1:22" ht="18">
      <c r="A900" s="9">
        <f>IF(Table1[[#This Row],[کد کوپ]]&lt;1,0,A899+1)</f>
        <v>899</v>
      </c>
      <c r="B900" s="9">
        <v>226</v>
      </c>
      <c r="C900" s="19">
        <v>45768</v>
      </c>
      <c r="D900" s="11">
        <v>16.3</v>
      </c>
      <c r="E900" s="15">
        <v>2.4</v>
      </c>
      <c r="F900" s="12">
        <v>1.8</v>
      </c>
      <c r="G900" s="12">
        <v>1.35</v>
      </c>
      <c r="H900" s="9" t="s">
        <v>9</v>
      </c>
      <c r="I900" s="9" t="s">
        <v>27</v>
      </c>
      <c r="J900" s="9" t="s">
        <v>65</v>
      </c>
      <c r="K900"/>
      <c r="U900"/>
      <c r="V900"/>
    </row>
    <row r="901" spans="1:22" ht="18">
      <c r="A901" s="9">
        <f>IF(Table1[[#This Row],[کد کوپ]]&lt;1,0,A900+1)</f>
        <v>900</v>
      </c>
      <c r="B901" s="9">
        <v>227</v>
      </c>
      <c r="C901" s="19">
        <v>45769</v>
      </c>
      <c r="D901" s="11">
        <v>15.81</v>
      </c>
      <c r="E901" s="15">
        <v>2.25</v>
      </c>
      <c r="F901" s="12">
        <v>1.75</v>
      </c>
      <c r="G901" s="12">
        <v>1.4</v>
      </c>
      <c r="H901" s="9" t="s">
        <v>9</v>
      </c>
      <c r="I901" s="9" t="s">
        <v>27</v>
      </c>
      <c r="J901" s="9" t="s">
        <v>65</v>
      </c>
      <c r="K901"/>
      <c r="U901"/>
      <c r="V901"/>
    </row>
    <row r="902" spans="1:22" ht="18">
      <c r="A902" s="9">
        <f>IF(Table1[[#This Row],[کد کوپ]]&lt;1,0,A901+1)</f>
        <v>901</v>
      </c>
      <c r="B902" s="9">
        <v>228</v>
      </c>
      <c r="C902" s="19">
        <v>45769</v>
      </c>
      <c r="D902" s="11">
        <v>16.57</v>
      </c>
      <c r="E902" s="15">
        <v>1.9</v>
      </c>
      <c r="F902" s="12">
        <v>1.85</v>
      </c>
      <c r="G902" s="12">
        <v>1.6</v>
      </c>
      <c r="H902" s="9" t="s">
        <v>9</v>
      </c>
      <c r="I902" s="9" t="s">
        <v>27</v>
      </c>
      <c r="J902" s="9" t="s">
        <v>65</v>
      </c>
      <c r="K902"/>
      <c r="U902"/>
      <c r="V902"/>
    </row>
    <row r="903" spans="1:22" ht="18">
      <c r="A903" s="9">
        <f>IF(Table1[[#This Row],[کد کوپ]]&lt;1,0,A902+1)</f>
        <v>902</v>
      </c>
      <c r="B903" s="9">
        <v>229</v>
      </c>
      <c r="C903" s="19">
        <v>45769</v>
      </c>
      <c r="D903" s="11">
        <v>23.614999999999998</v>
      </c>
      <c r="E903" s="15">
        <v>3</v>
      </c>
      <c r="F903" s="12">
        <v>1.7</v>
      </c>
      <c r="G903" s="12">
        <v>1.6</v>
      </c>
      <c r="H903" s="9" t="s">
        <v>9</v>
      </c>
      <c r="I903" s="9" t="s">
        <v>27</v>
      </c>
      <c r="J903" s="9" t="s">
        <v>65</v>
      </c>
      <c r="K903"/>
      <c r="U903"/>
      <c r="V903"/>
    </row>
    <row r="904" spans="1:22" ht="18">
      <c r="A904" s="9">
        <f>IF(Table1[[#This Row],[کد کوپ]]&lt;1,0,A903+1)</f>
        <v>903</v>
      </c>
      <c r="B904" s="9">
        <v>230</v>
      </c>
      <c r="C904" s="19">
        <v>45770</v>
      </c>
      <c r="D904" s="11">
        <v>16.82</v>
      </c>
      <c r="E904" s="15">
        <v>2.2999999999999998</v>
      </c>
      <c r="F904" s="12">
        <v>1.75</v>
      </c>
      <c r="G904" s="12">
        <v>1.5</v>
      </c>
      <c r="H904" s="9" t="s">
        <v>9</v>
      </c>
      <c r="I904" s="9" t="s">
        <v>27</v>
      </c>
      <c r="J904" s="9" t="s">
        <v>65</v>
      </c>
      <c r="K904"/>
      <c r="U904"/>
      <c r="V904"/>
    </row>
    <row r="905" spans="1:22" ht="18">
      <c r="A905" s="9">
        <f>IF(Table1[[#This Row],[کد کوپ]]&lt;1,0,A904+1)</f>
        <v>904</v>
      </c>
      <c r="B905" s="9">
        <v>231</v>
      </c>
      <c r="C905" s="19">
        <v>45770</v>
      </c>
      <c r="D905" s="11">
        <v>16.05</v>
      </c>
      <c r="E905" s="15">
        <v>2.9</v>
      </c>
      <c r="F905" s="12">
        <v>1.6</v>
      </c>
      <c r="G905" s="12">
        <v>1.2</v>
      </c>
      <c r="H905" s="9" t="s">
        <v>9</v>
      </c>
      <c r="I905" s="9" t="s">
        <v>27</v>
      </c>
      <c r="J905" s="9" t="s">
        <v>65</v>
      </c>
      <c r="K905"/>
      <c r="U905"/>
      <c r="V905"/>
    </row>
    <row r="906" spans="1:22" ht="18">
      <c r="A906" s="9">
        <f>IF(Table1[[#This Row],[کد کوپ]]&lt;1,0,A905+1)</f>
        <v>905</v>
      </c>
      <c r="B906" s="9">
        <v>232</v>
      </c>
      <c r="C906" s="19">
        <v>45770</v>
      </c>
      <c r="D906" s="11">
        <v>25</v>
      </c>
      <c r="E906" s="15">
        <v>2.9</v>
      </c>
      <c r="F906" s="12">
        <v>1.75</v>
      </c>
      <c r="G906" s="12">
        <v>1.75</v>
      </c>
      <c r="H906" s="9" t="s">
        <v>9</v>
      </c>
      <c r="I906" s="9" t="s">
        <v>27</v>
      </c>
      <c r="J906" s="9" t="s">
        <v>65</v>
      </c>
      <c r="K906"/>
      <c r="U906"/>
      <c r="V906"/>
    </row>
    <row r="907" spans="1:22" ht="18" hidden="1">
      <c r="A907" s="9">
        <f>IF(Table1[[#This Row],[کد کوپ]]&lt;1,0,A906+1)</f>
        <v>906</v>
      </c>
      <c r="B907" s="9">
        <v>233</v>
      </c>
      <c r="C907" s="19">
        <v>45778</v>
      </c>
      <c r="D907" s="11">
        <v>15.69</v>
      </c>
      <c r="E907" s="15">
        <v>3</v>
      </c>
      <c r="F907" s="12">
        <v>1.56</v>
      </c>
      <c r="G907" s="12">
        <v>1.34</v>
      </c>
      <c r="H907" s="9" t="s">
        <v>9</v>
      </c>
      <c r="I907" s="9" t="s">
        <v>10</v>
      </c>
      <c r="J907" s="9" t="s">
        <v>103</v>
      </c>
      <c r="K907"/>
      <c r="U907"/>
      <c r="V907"/>
    </row>
    <row r="908" spans="1:22" ht="18" hidden="1">
      <c r="A908" s="9">
        <f>IF(Table1[[#This Row],[کد کوپ]]&lt;1,0,A907+1)</f>
        <v>907</v>
      </c>
      <c r="B908" s="9">
        <v>234</v>
      </c>
      <c r="C908" s="19">
        <v>45778</v>
      </c>
      <c r="D908" s="11">
        <v>14.135</v>
      </c>
      <c r="E908" s="15">
        <v>3.04</v>
      </c>
      <c r="F908" s="12">
        <v>1.75</v>
      </c>
      <c r="G908" s="12">
        <v>1.07</v>
      </c>
      <c r="H908" s="9" t="s">
        <v>104</v>
      </c>
      <c r="I908" s="9" t="s">
        <v>10</v>
      </c>
      <c r="J908" s="9" t="s">
        <v>51</v>
      </c>
      <c r="K908"/>
      <c r="U908"/>
      <c r="V908"/>
    </row>
    <row r="909" spans="1:22" ht="18">
      <c r="A909" s="9">
        <f>IF(Table1[[#This Row],[کد کوپ]]&lt;1,0,A908+1)</f>
        <v>908</v>
      </c>
      <c r="B909" s="9">
        <v>235</v>
      </c>
      <c r="C909" s="19">
        <v>45781</v>
      </c>
      <c r="D909" s="11">
        <v>23.625</v>
      </c>
      <c r="E909" s="15">
        <v>3.15</v>
      </c>
      <c r="F909" s="12">
        <v>1.5</v>
      </c>
      <c r="G909" s="12">
        <v>1.86</v>
      </c>
      <c r="H909" s="9" t="s">
        <v>105</v>
      </c>
      <c r="I909" s="9" t="s">
        <v>27</v>
      </c>
      <c r="J909" s="9" t="s">
        <v>65</v>
      </c>
      <c r="K909"/>
      <c r="U909"/>
      <c r="V909"/>
    </row>
    <row r="910" spans="1:22" ht="18">
      <c r="A910" s="9">
        <f>IF(Table1[[#This Row],[کد کوپ]]&lt;1,0,A909+1)</f>
        <v>909</v>
      </c>
      <c r="B910" s="9">
        <v>236</v>
      </c>
      <c r="C910" s="19">
        <v>45781</v>
      </c>
      <c r="D910" s="11">
        <v>24.765000000000001</v>
      </c>
      <c r="E910" s="15">
        <v>3</v>
      </c>
      <c r="F910" s="12">
        <v>1.85</v>
      </c>
      <c r="G910" s="12">
        <v>1.7</v>
      </c>
      <c r="H910" s="9" t="s">
        <v>105</v>
      </c>
      <c r="I910" s="9" t="s">
        <v>27</v>
      </c>
      <c r="J910" s="9" t="s">
        <v>65</v>
      </c>
      <c r="K910"/>
      <c r="U910"/>
      <c r="V910"/>
    </row>
    <row r="911" spans="1:22" ht="18">
      <c r="A911" s="9">
        <f>IF(Table1[[#This Row],[کد کوپ]]&lt;1,0,A910+1)</f>
        <v>910</v>
      </c>
      <c r="B911" s="9">
        <v>237</v>
      </c>
      <c r="C911" s="19">
        <v>45783</v>
      </c>
      <c r="D911" s="11">
        <v>23.675000000000001</v>
      </c>
      <c r="E911" s="15">
        <v>2.8</v>
      </c>
      <c r="F911" s="12">
        <v>1.82</v>
      </c>
      <c r="G911" s="12">
        <v>1.7</v>
      </c>
      <c r="H911" s="9" t="s">
        <v>9</v>
      </c>
      <c r="I911" s="9" t="s">
        <v>27</v>
      </c>
      <c r="J911" s="9" t="s">
        <v>106</v>
      </c>
      <c r="K911"/>
      <c r="U911"/>
      <c r="V911"/>
    </row>
    <row r="912" spans="1:22" ht="18">
      <c r="A912" s="9">
        <f>IF(Table1[[#This Row],[کد کوپ]]&lt;1,0,A911+1)</f>
        <v>911</v>
      </c>
      <c r="B912" s="9">
        <v>238</v>
      </c>
      <c r="C912" s="19">
        <v>45784</v>
      </c>
      <c r="D912" s="11">
        <v>34.979999999999997</v>
      </c>
      <c r="E912" s="15">
        <v>2.8</v>
      </c>
      <c r="F912" s="12">
        <v>2.0699999999999998</v>
      </c>
      <c r="G912" s="12">
        <v>2.0499999999999998</v>
      </c>
      <c r="H912" s="9" t="s">
        <v>9</v>
      </c>
      <c r="I912" s="9" t="s">
        <v>27</v>
      </c>
      <c r="J912" s="9" t="s">
        <v>106</v>
      </c>
      <c r="K912"/>
      <c r="U912"/>
      <c r="V912"/>
    </row>
    <row r="913" spans="1:22" ht="18">
      <c r="A913" s="9">
        <f>IF(Table1[[#This Row],[کد کوپ]]&lt;1,0,A912+1)</f>
        <v>912</v>
      </c>
      <c r="B913" s="9">
        <v>239</v>
      </c>
      <c r="C913" s="19">
        <v>45784</v>
      </c>
      <c r="D913" s="11">
        <v>27.58</v>
      </c>
      <c r="E913" s="15">
        <v>2.6</v>
      </c>
      <c r="F913" s="12">
        <v>1.96</v>
      </c>
      <c r="G913" s="12">
        <v>2.0699999999999998</v>
      </c>
      <c r="H913" s="9" t="s">
        <v>9</v>
      </c>
      <c r="I913" s="9" t="s">
        <v>27</v>
      </c>
      <c r="J913" s="9" t="s">
        <v>65</v>
      </c>
      <c r="K913"/>
      <c r="U913"/>
      <c r="V913"/>
    </row>
    <row r="914" spans="1:22" ht="18">
      <c r="A914" s="9">
        <f>IF(Table1[[#This Row],[کد کوپ]]&lt;1,0,A913+1)</f>
        <v>913</v>
      </c>
      <c r="B914" s="9">
        <v>240</v>
      </c>
      <c r="C914" s="19">
        <v>45785</v>
      </c>
      <c r="D914" s="11">
        <v>25.495000000000001</v>
      </c>
      <c r="E914" s="15">
        <v>3.04</v>
      </c>
      <c r="F914" s="12">
        <v>1.84</v>
      </c>
      <c r="G914" s="12">
        <v>1.68</v>
      </c>
      <c r="H914" s="9" t="s">
        <v>9</v>
      </c>
      <c r="I914" s="9" t="s">
        <v>27</v>
      </c>
      <c r="J914" s="9" t="s">
        <v>107</v>
      </c>
      <c r="K914"/>
      <c r="U914"/>
      <c r="V914"/>
    </row>
    <row r="915" spans="1:22" ht="18" hidden="1">
      <c r="A915" s="9">
        <f>IF(Table1[[#This Row],[کد کوپ]]&lt;1,0,A914+1)</f>
        <v>914</v>
      </c>
      <c r="B915" s="9">
        <v>241</v>
      </c>
      <c r="C915" s="19">
        <v>45785</v>
      </c>
      <c r="D915" s="11">
        <v>24.1</v>
      </c>
      <c r="E915" s="15">
        <v>2.8</v>
      </c>
      <c r="F915" s="12">
        <v>1.57</v>
      </c>
      <c r="G915" s="12">
        <v>2</v>
      </c>
      <c r="H915" s="9" t="s">
        <v>108</v>
      </c>
      <c r="I915" s="9" t="s">
        <v>10</v>
      </c>
      <c r="J915" s="9" t="s">
        <v>45</v>
      </c>
      <c r="K915"/>
      <c r="U915"/>
      <c r="V915"/>
    </row>
    <row r="916" spans="1:22" ht="18">
      <c r="A916" s="9">
        <f>IF(Table1[[#This Row],[کد کوپ]]&lt;1,0,A915+1)</f>
        <v>915</v>
      </c>
      <c r="B916" s="9">
        <v>242</v>
      </c>
      <c r="C916" s="19">
        <v>45785</v>
      </c>
      <c r="D916" s="11">
        <v>26.635000000000002</v>
      </c>
      <c r="E916" s="15">
        <v>2.94</v>
      </c>
      <c r="F916" s="12">
        <v>1.73</v>
      </c>
      <c r="G916" s="12">
        <v>1.97</v>
      </c>
      <c r="H916" s="9" t="s">
        <v>9</v>
      </c>
      <c r="I916" s="9" t="s">
        <v>27</v>
      </c>
      <c r="J916" s="9" t="s">
        <v>107</v>
      </c>
      <c r="K916"/>
      <c r="U916"/>
      <c r="V916"/>
    </row>
    <row r="917" spans="1:22" ht="18">
      <c r="A917" s="9">
        <f>IF(Table1[[#This Row],[کد کوپ]]&lt;1,0,A916+1)</f>
        <v>916</v>
      </c>
      <c r="B917" s="9">
        <v>243</v>
      </c>
      <c r="C917" s="19">
        <v>45785</v>
      </c>
      <c r="D917" s="11">
        <v>25.92</v>
      </c>
      <c r="E917" s="15">
        <v>3.07</v>
      </c>
      <c r="F917" s="12">
        <v>1.74</v>
      </c>
      <c r="G917" s="12">
        <v>1.9</v>
      </c>
      <c r="H917" s="9" t="s">
        <v>9</v>
      </c>
      <c r="I917" s="9" t="s">
        <v>27</v>
      </c>
      <c r="J917" s="9" t="s">
        <v>107</v>
      </c>
      <c r="K917"/>
      <c r="U917"/>
      <c r="V917"/>
    </row>
    <row r="918" spans="1:22" ht="18">
      <c r="A918" s="9">
        <f>IF(Table1[[#This Row],[کد کوپ]]&lt;1,0,A917+1)</f>
        <v>917</v>
      </c>
      <c r="B918" s="9">
        <v>244</v>
      </c>
      <c r="C918" s="19">
        <v>45786</v>
      </c>
      <c r="D918" s="11">
        <v>31.34</v>
      </c>
      <c r="E918" s="15">
        <v>3</v>
      </c>
      <c r="F918" s="12">
        <v>2</v>
      </c>
      <c r="G918" s="12">
        <v>1.9</v>
      </c>
      <c r="H918" s="9" t="s">
        <v>9</v>
      </c>
      <c r="I918" s="9" t="s">
        <v>27</v>
      </c>
      <c r="J918" s="9" t="s">
        <v>109</v>
      </c>
      <c r="K918"/>
      <c r="U918"/>
      <c r="V918"/>
    </row>
    <row r="919" spans="1:22" ht="18">
      <c r="A919" s="9">
        <f>IF(Table1[[#This Row],[کد کوپ]]&lt;1,0,A918+1)</f>
        <v>918</v>
      </c>
      <c r="B919" s="9">
        <v>245</v>
      </c>
      <c r="C919" s="19">
        <v>45792</v>
      </c>
      <c r="D919" s="11">
        <v>27.89</v>
      </c>
      <c r="E919" s="15">
        <v>2.68</v>
      </c>
      <c r="F919" s="12">
        <v>2.0099999999999998</v>
      </c>
      <c r="G919" s="12">
        <v>1.97</v>
      </c>
      <c r="H919" s="9" t="s">
        <v>9</v>
      </c>
      <c r="I919" s="9" t="s">
        <v>27</v>
      </c>
      <c r="J919" s="9" t="s">
        <v>109</v>
      </c>
      <c r="K919"/>
      <c r="U919"/>
      <c r="V919"/>
    </row>
    <row r="920" spans="1:22" ht="18">
      <c r="A920" s="9">
        <f>IF(Table1[[#This Row],[کد کوپ]]&lt;1,0,A919+1)</f>
        <v>919</v>
      </c>
      <c r="B920" s="9">
        <v>246</v>
      </c>
      <c r="C920" s="19">
        <v>45792</v>
      </c>
      <c r="D920" s="11">
        <v>22.015000000000001</v>
      </c>
      <c r="E920" s="15">
        <v>2.65</v>
      </c>
      <c r="F920" s="12">
        <v>1.5</v>
      </c>
      <c r="G920" s="12">
        <v>2.0099999999999998</v>
      </c>
      <c r="H920" s="9" t="s">
        <v>9</v>
      </c>
      <c r="I920" s="9" t="s">
        <v>27</v>
      </c>
      <c r="J920" s="9" t="s">
        <v>109</v>
      </c>
      <c r="K920"/>
      <c r="U920"/>
      <c r="V920"/>
    </row>
    <row r="921" spans="1:22" ht="18">
      <c r="A921" s="9">
        <f>IF(Table1[[#This Row],[کد کوپ]]&lt;1,0,A920+1)</f>
        <v>920</v>
      </c>
      <c r="B921" s="9">
        <v>247</v>
      </c>
      <c r="C921" s="19">
        <v>45792</v>
      </c>
      <c r="D921" s="11">
        <v>25.3</v>
      </c>
      <c r="E921" s="15">
        <v>2.78</v>
      </c>
      <c r="F921" s="12">
        <v>1.78</v>
      </c>
      <c r="G921" s="12">
        <v>1.9</v>
      </c>
      <c r="H921" s="9" t="s">
        <v>9</v>
      </c>
      <c r="I921" s="9" t="s">
        <v>27</v>
      </c>
      <c r="J921" s="9" t="s">
        <v>110</v>
      </c>
      <c r="K921"/>
      <c r="U921"/>
      <c r="V921"/>
    </row>
    <row r="922" spans="1:22" ht="18">
      <c r="A922" s="9">
        <f>IF(Table1[[#This Row],[کد کوپ]]&lt;1,0,A921+1)</f>
        <v>921</v>
      </c>
      <c r="B922" s="9">
        <v>248</v>
      </c>
      <c r="C922" s="19">
        <v>45793</v>
      </c>
      <c r="D922" s="11">
        <v>22.215</v>
      </c>
      <c r="E922" s="15">
        <v>3.04</v>
      </c>
      <c r="F922" s="12">
        <v>1.72</v>
      </c>
      <c r="G922" s="12">
        <v>1.6</v>
      </c>
      <c r="H922" s="9" t="s">
        <v>9</v>
      </c>
      <c r="I922" s="9" t="s">
        <v>27</v>
      </c>
      <c r="J922" s="9" t="s">
        <v>110</v>
      </c>
      <c r="K922"/>
      <c r="U922"/>
      <c r="V922"/>
    </row>
    <row r="923" spans="1:22" ht="18">
      <c r="A923" s="9">
        <f>IF(Table1[[#This Row],[کد کوپ]]&lt;1,0,A922+1)</f>
        <v>922</v>
      </c>
      <c r="B923" s="9">
        <v>249</v>
      </c>
      <c r="C923" s="19">
        <v>45794</v>
      </c>
      <c r="D923" s="11">
        <v>32.17</v>
      </c>
      <c r="E923" s="15">
        <v>3.03</v>
      </c>
      <c r="F923" s="12">
        <v>2</v>
      </c>
      <c r="G923" s="12">
        <v>2</v>
      </c>
      <c r="H923" s="9" t="s">
        <v>111</v>
      </c>
      <c r="I923" s="9" t="s">
        <v>27</v>
      </c>
      <c r="J923" s="9" t="s">
        <v>109</v>
      </c>
      <c r="K923"/>
      <c r="U923"/>
      <c r="V923"/>
    </row>
    <row r="924" spans="1:22" ht="18">
      <c r="A924" s="9">
        <v>923</v>
      </c>
      <c r="B924" s="9">
        <v>250</v>
      </c>
      <c r="C924" s="19">
        <v>45795</v>
      </c>
      <c r="D924" s="11">
        <v>27.28</v>
      </c>
      <c r="E924" s="15">
        <v>2.5</v>
      </c>
      <c r="F924" s="12">
        <v>2.0499999999999998</v>
      </c>
      <c r="G924" s="12">
        <v>2</v>
      </c>
      <c r="H924" s="9" t="s">
        <v>9</v>
      </c>
      <c r="I924" s="9" t="s">
        <v>27</v>
      </c>
      <c r="J924" s="9" t="s">
        <v>109</v>
      </c>
      <c r="K924"/>
      <c r="U924"/>
      <c r="V924"/>
    </row>
    <row r="925" spans="1:22" ht="18">
      <c r="A925" s="9">
        <f>IF(Table1[[#This Row],[کد کوپ]]&lt;1,0,A924+1)</f>
        <v>924</v>
      </c>
      <c r="B925" s="9">
        <v>251</v>
      </c>
      <c r="C925" s="19">
        <v>45797</v>
      </c>
      <c r="D925" s="11">
        <v>10.88</v>
      </c>
      <c r="E925" s="15">
        <v>1.62</v>
      </c>
      <c r="F925" s="12">
        <v>1.5</v>
      </c>
      <c r="G925" s="12">
        <v>1.65</v>
      </c>
      <c r="H925" s="9" t="s">
        <v>9</v>
      </c>
      <c r="I925" s="9" t="s">
        <v>27</v>
      </c>
      <c r="J925" s="9" t="s">
        <v>112</v>
      </c>
      <c r="K925"/>
      <c r="U925"/>
      <c r="V925"/>
    </row>
    <row r="926" spans="1:22" ht="18">
      <c r="A926" s="9">
        <v>925</v>
      </c>
      <c r="B926" s="9">
        <v>252</v>
      </c>
      <c r="C926" s="19">
        <v>45797</v>
      </c>
      <c r="D926" s="11">
        <v>12.525</v>
      </c>
      <c r="E926" s="15">
        <v>2.02</v>
      </c>
      <c r="F926" s="12">
        <v>1.85</v>
      </c>
      <c r="G926" s="12">
        <v>1.25</v>
      </c>
      <c r="H926" s="9" t="s">
        <v>9</v>
      </c>
      <c r="I926" s="9" t="s">
        <v>27</v>
      </c>
      <c r="J926" s="9" t="s">
        <v>112</v>
      </c>
      <c r="K926"/>
      <c r="U926"/>
      <c r="V926"/>
    </row>
    <row r="927" spans="1:22" ht="18">
      <c r="A927" s="9">
        <v>926</v>
      </c>
      <c r="B927" s="9">
        <v>253</v>
      </c>
      <c r="C927" s="19">
        <v>45804</v>
      </c>
      <c r="D927" s="11">
        <v>13.734999999999999</v>
      </c>
      <c r="E927" s="15">
        <v>1.8</v>
      </c>
      <c r="F927" s="12">
        <v>1.57</v>
      </c>
      <c r="G927" s="12">
        <v>1.85</v>
      </c>
      <c r="H927" s="9" t="s">
        <v>9</v>
      </c>
      <c r="I927" s="9" t="s">
        <v>27</v>
      </c>
      <c r="J927" s="9" t="s">
        <v>112</v>
      </c>
      <c r="K927"/>
      <c r="U927"/>
      <c r="V927"/>
    </row>
    <row r="928" spans="1:22" ht="18">
      <c r="A928" s="9">
        <f>IF(Table1[[#This Row],[کد کوپ]]&lt;1,0,A927+1)</f>
        <v>927</v>
      </c>
      <c r="B928" s="9">
        <v>254</v>
      </c>
      <c r="C928" s="19">
        <v>45804</v>
      </c>
      <c r="D928" s="11">
        <v>12.734999999999999</v>
      </c>
      <c r="E928" s="15">
        <v>2.1</v>
      </c>
      <c r="F928" s="12">
        <v>1.5</v>
      </c>
      <c r="G928" s="12">
        <v>1.65</v>
      </c>
      <c r="H928" s="9" t="s">
        <v>9</v>
      </c>
      <c r="I928" s="9" t="s">
        <v>27</v>
      </c>
      <c r="J928" s="9" t="s">
        <v>112</v>
      </c>
      <c r="K928"/>
      <c r="U928"/>
      <c r="V928"/>
    </row>
    <row r="929" spans="1:22" ht="18">
      <c r="A929" s="9">
        <f>IF(Table1[[#This Row],[کد کوپ]]&lt;1,0,A928+1)</f>
        <v>928</v>
      </c>
      <c r="B929" s="9">
        <v>255</v>
      </c>
      <c r="C929" s="19">
        <v>45808</v>
      </c>
      <c r="D929" s="11">
        <v>16.190000000000001</v>
      </c>
      <c r="E929" s="15">
        <v>2.5</v>
      </c>
      <c r="F929" s="12">
        <v>1.0900000000000001</v>
      </c>
      <c r="G929" s="12">
        <v>1.18</v>
      </c>
      <c r="H929" s="9" t="s">
        <v>9</v>
      </c>
      <c r="I929" s="9" t="s">
        <v>27</v>
      </c>
      <c r="J929" s="9" t="s">
        <v>112</v>
      </c>
      <c r="K929"/>
      <c r="U929"/>
      <c r="V929"/>
    </row>
    <row r="930" spans="1:22" ht="18">
      <c r="A930" s="9">
        <v>927</v>
      </c>
      <c r="B930" s="9">
        <v>256</v>
      </c>
      <c r="C930" s="19">
        <v>45808</v>
      </c>
      <c r="D930" s="11">
        <v>10.5</v>
      </c>
      <c r="E930" s="15">
        <v>2.02</v>
      </c>
      <c r="F930" s="12">
        <v>1.32</v>
      </c>
      <c r="G930" s="12">
        <v>1.46</v>
      </c>
      <c r="H930" s="9" t="s">
        <v>9</v>
      </c>
      <c r="I930" s="9" t="s">
        <v>27</v>
      </c>
      <c r="J930" s="9" t="s">
        <v>112</v>
      </c>
      <c r="K930"/>
      <c r="U930"/>
      <c r="V930"/>
    </row>
    <row r="931" spans="1:22" ht="18">
      <c r="A931" s="9">
        <v>928</v>
      </c>
      <c r="B931" s="9">
        <v>257</v>
      </c>
      <c r="C931" s="19">
        <v>45808</v>
      </c>
      <c r="D931" s="11">
        <v>24.36</v>
      </c>
      <c r="E931" s="15">
        <v>2.9</v>
      </c>
      <c r="F931" s="12">
        <v>1.6</v>
      </c>
      <c r="G931" s="12">
        <v>1.96</v>
      </c>
      <c r="H931" s="9" t="s">
        <v>9</v>
      </c>
      <c r="I931" s="9" t="s">
        <v>27</v>
      </c>
      <c r="J931" s="9" t="s">
        <v>112</v>
      </c>
      <c r="K931"/>
      <c r="U931"/>
      <c r="V931"/>
    </row>
    <row r="932" spans="1:22" ht="18">
      <c r="A932" s="9">
        <v>929</v>
      </c>
      <c r="B932" s="9">
        <v>258</v>
      </c>
      <c r="C932" s="19">
        <v>45809</v>
      </c>
      <c r="D932" s="11">
        <v>13.68</v>
      </c>
      <c r="E932" s="15">
        <v>2.5</v>
      </c>
      <c r="F932" s="12">
        <v>1.03</v>
      </c>
      <c r="G932" s="12">
        <v>2.08</v>
      </c>
      <c r="H932" s="9" t="s">
        <v>9</v>
      </c>
      <c r="I932" s="9" t="s">
        <v>27</v>
      </c>
      <c r="J932" s="9" t="s">
        <v>112</v>
      </c>
      <c r="K932"/>
      <c r="U932"/>
      <c r="V932"/>
    </row>
    <row r="933" spans="1:22" ht="18">
      <c r="A933" s="9">
        <v>930</v>
      </c>
      <c r="B933" s="9">
        <v>259</v>
      </c>
      <c r="C933" s="19">
        <v>45809</v>
      </c>
      <c r="D933" s="11">
        <v>14.09</v>
      </c>
      <c r="E933" s="15">
        <v>2.4</v>
      </c>
      <c r="F933" s="12">
        <v>1.32</v>
      </c>
      <c r="G933" s="12">
        <v>1.9</v>
      </c>
      <c r="H933" s="9" t="s">
        <v>9</v>
      </c>
      <c r="I933" s="9" t="s">
        <v>27</v>
      </c>
      <c r="J933" s="9" t="s">
        <v>112</v>
      </c>
      <c r="K933"/>
      <c r="U933"/>
      <c r="V933"/>
    </row>
    <row r="934" spans="1:22" ht="18">
      <c r="A934" s="9">
        <v>931</v>
      </c>
      <c r="B934" s="9">
        <v>260</v>
      </c>
      <c r="C934" s="19">
        <v>45809</v>
      </c>
      <c r="D934" s="11">
        <v>18.41</v>
      </c>
      <c r="E934" s="15">
        <v>2.8</v>
      </c>
      <c r="F934" s="12">
        <v>1.28</v>
      </c>
      <c r="G934" s="12">
        <v>1.85</v>
      </c>
      <c r="H934" s="9" t="s">
        <v>9</v>
      </c>
      <c r="I934" s="9" t="s">
        <v>27</v>
      </c>
      <c r="J934" s="9" t="s">
        <v>112</v>
      </c>
      <c r="K934"/>
      <c r="U934"/>
      <c r="V934"/>
    </row>
    <row r="935" spans="1:22" ht="18">
      <c r="A935" s="9">
        <v>932</v>
      </c>
      <c r="B935" s="9">
        <v>261</v>
      </c>
      <c r="C935" s="19">
        <v>45809</v>
      </c>
      <c r="D935" s="11">
        <v>18.16</v>
      </c>
      <c r="E935" s="15">
        <v>2.7</v>
      </c>
      <c r="F935" s="12">
        <v>1.28</v>
      </c>
      <c r="G935" s="12">
        <v>2</v>
      </c>
      <c r="H935" s="9" t="s">
        <v>9</v>
      </c>
      <c r="I935" s="9" t="s">
        <v>27</v>
      </c>
      <c r="J935" s="9" t="s">
        <v>112</v>
      </c>
      <c r="K935"/>
      <c r="U935"/>
      <c r="V935"/>
    </row>
    <row r="936" spans="1:22" ht="18">
      <c r="A936" s="9">
        <v>933</v>
      </c>
      <c r="B936" s="9">
        <v>262</v>
      </c>
      <c r="C936" s="19">
        <v>45810</v>
      </c>
      <c r="D936" s="11">
        <v>12.7</v>
      </c>
      <c r="E936" s="15">
        <v>1.75</v>
      </c>
      <c r="F936" s="12">
        <v>1.45</v>
      </c>
      <c r="G936" s="12">
        <v>1.7</v>
      </c>
      <c r="H936" s="9" t="s">
        <v>9</v>
      </c>
      <c r="I936" s="9" t="s">
        <v>27</v>
      </c>
      <c r="J936" s="9" t="s">
        <v>113</v>
      </c>
      <c r="K936"/>
      <c r="U936"/>
      <c r="V936"/>
    </row>
    <row r="937" spans="1:22" ht="18">
      <c r="A937" s="9">
        <v>934</v>
      </c>
      <c r="B937" s="9">
        <v>263</v>
      </c>
      <c r="C937" s="19">
        <v>45810</v>
      </c>
      <c r="D937" s="11">
        <v>20.74</v>
      </c>
      <c r="E937" s="15">
        <v>2.6</v>
      </c>
      <c r="F937" s="12">
        <v>1.55</v>
      </c>
      <c r="G937" s="12">
        <v>1.85</v>
      </c>
      <c r="H937" s="9" t="s">
        <v>9</v>
      </c>
      <c r="I937" s="9" t="s">
        <v>27</v>
      </c>
      <c r="J937" s="9" t="s">
        <v>113</v>
      </c>
      <c r="K937"/>
      <c r="U937"/>
      <c r="V937"/>
    </row>
    <row r="938" spans="1:22" ht="18">
      <c r="A938" s="9">
        <v>935</v>
      </c>
      <c r="B938" s="9">
        <v>264</v>
      </c>
      <c r="C938" s="19">
        <v>45810</v>
      </c>
      <c r="D938" s="11">
        <v>24.79</v>
      </c>
      <c r="E938" s="15">
        <v>2.2999999999999998</v>
      </c>
      <c r="F938" s="12">
        <v>2.1</v>
      </c>
      <c r="G938" s="12">
        <v>2.04</v>
      </c>
      <c r="H938" s="9" t="s">
        <v>9</v>
      </c>
      <c r="I938" s="9" t="s">
        <v>27</v>
      </c>
      <c r="J938" s="9" t="s">
        <v>112</v>
      </c>
      <c r="K938"/>
      <c r="U938"/>
      <c r="V938"/>
    </row>
    <row r="939" spans="1:22" ht="18" hidden="1">
      <c r="A939" s="9">
        <v>936</v>
      </c>
      <c r="B939" s="9">
        <v>265</v>
      </c>
      <c r="C939" s="19">
        <v>45810</v>
      </c>
      <c r="D939" s="11">
        <v>28.04</v>
      </c>
      <c r="E939" s="15">
        <v>3.05</v>
      </c>
      <c r="F939" s="12">
        <v>1.93</v>
      </c>
      <c r="G939" s="12">
        <v>1.82</v>
      </c>
      <c r="H939" s="9" t="s">
        <v>114</v>
      </c>
      <c r="I939" s="9" t="s">
        <v>10</v>
      </c>
      <c r="J939" s="9" t="s">
        <v>22</v>
      </c>
      <c r="K939"/>
      <c r="U939"/>
      <c r="V939"/>
    </row>
    <row r="940" spans="1:22" ht="18" hidden="1">
      <c r="A940" s="9">
        <v>937</v>
      </c>
      <c r="B940" s="9">
        <v>266</v>
      </c>
      <c r="C940" s="19">
        <v>45810</v>
      </c>
      <c r="D940" s="11">
        <v>23.38</v>
      </c>
      <c r="E940" s="15">
        <v>3.1</v>
      </c>
      <c r="F940" s="12">
        <v>1.8</v>
      </c>
      <c r="G940" s="12">
        <v>1.8</v>
      </c>
      <c r="H940" s="9" t="s">
        <v>9</v>
      </c>
      <c r="I940" s="9" t="s">
        <v>10</v>
      </c>
      <c r="J940" s="9" t="s">
        <v>115</v>
      </c>
      <c r="K940"/>
      <c r="U940"/>
      <c r="V940"/>
    </row>
    <row r="941" spans="1:22" ht="18">
      <c r="A941" s="9">
        <v>938</v>
      </c>
      <c r="B941" s="9">
        <v>267</v>
      </c>
      <c r="C941" s="19">
        <v>45810</v>
      </c>
      <c r="D941" s="11">
        <v>23.495000000000001</v>
      </c>
      <c r="E941" s="15">
        <v>2.7</v>
      </c>
      <c r="F941" s="12">
        <v>1.94</v>
      </c>
      <c r="G941" s="12">
        <v>1.67</v>
      </c>
      <c r="H941" s="9" t="s">
        <v>9</v>
      </c>
      <c r="I941" s="9" t="s">
        <v>27</v>
      </c>
      <c r="J941" s="9" t="s">
        <v>112</v>
      </c>
      <c r="K941"/>
      <c r="U941"/>
      <c r="V941"/>
    </row>
    <row r="942" spans="1:22" ht="18">
      <c r="A942" s="9">
        <v>939</v>
      </c>
      <c r="B942" s="9">
        <v>268</v>
      </c>
      <c r="C942" s="19">
        <v>45811</v>
      </c>
      <c r="D942" s="11">
        <v>26.91</v>
      </c>
      <c r="E942" s="15">
        <v>2.99</v>
      </c>
      <c r="F942" s="12">
        <v>2.0099999999999998</v>
      </c>
      <c r="G942" s="12">
        <v>1.6</v>
      </c>
      <c r="H942" s="9" t="s">
        <v>9</v>
      </c>
      <c r="I942" s="9" t="s">
        <v>27</v>
      </c>
      <c r="J942" s="9" t="s">
        <v>110</v>
      </c>
      <c r="K942"/>
      <c r="U942"/>
      <c r="V942"/>
    </row>
    <row r="943" spans="1:22" ht="18">
      <c r="A943" s="9">
        <v>940</v>
      </c>
      <c r="B943" s="9">
        <v>269</v>
      </c>
      <c r="C943" s="19">
        <v>45811</v>
      </c>
      <c r="D943" s="11">
        <v>24.42</v>
      </c>
      <c r="E943" s="15">
        <v>3</v>
      </c>
      <c r="F943" s="12">
        <v>1.73</v>
      </c>
      <c r="G943" s="12">
        <v>1.75</v>
      </c>
      <c r="H943" s="9" t="s">
        <v>9</v>
      </c>
      <c r="I943" s="9" t="s">
        <v>27</v>
      </c>
      <c r="J943" s="9" t="s">
        <v>110</v>
      </c>
      <c r="K943"/>
      <c r="U943"/>
      <c r="V943"/>
    </row>
    <row r="944" spans="1:22" ht="18">
      <c r="A944" s="9">
        <v>941</v>
      </c>
      <c r="B944" s="9">
        <v>270</v>
      </c>
      <c r="C944" s="19">
        <v>45811</v>
      </c>
      <c r="D944" s="11">
        <v>26.98</v>
      </c>
      <c r="E944" s="15">
        <v>3.2</v>
      </c>
      <c r="F944" s="12">
        <v>1.95</v>
      </c>
      <c r="G944" s="12">
        <v>1.8</v>
      </c>
      <c r="H944" s="9" t="s">
        <v>9</v>
      </c>
      <c r="I944" s="9" t="s">
        <v>27</v>
      </c>
      <c r="J944" s="9" t="s">
        <v>107</v>
      </c>
      <c r="K944"/>
      <c r="U944"/>
      <c r="V944"/>
    </row>
    <row r="945" spans="1:22" ht="18">
      <c r="A945" s="9">
        <v>942</v>
      </c>
      <c r="B945" s="9">
        <v>271</v>
      </c>
      <c r="C945" s="19">
        <v>45811</v>
      </c>
      <c r="D945" s="11">
        <v>19.574999999999999</v>
      </c>
      <c r="E945" s="15">
        <v>3.05</v>
      </c>
      <c r="F945" s="12">
        <v>1.71</v>
      </c>
      <c r="G945" s="12">
        <v>1.4</v>
      </c>
      <c r="H945" s="9" t="s">
        <v>9</v>
      </c>
      <c r="I945" s="9" t="s">
        <v>27</v>
      </c>
      <c r="J945" s="9" t="s">
        <v>110</v>
      </c>
      <c r="K945"/>
      <c r="U945"/>
      <c r="V945"/>
    </row>
    <row r="946" spans="1:22" ht="18">
      <c r="A946" s="9">
        <v>943</v>
      </c>
      <c r="B946" s="9">
        <v>272</v>
      </c>
      <c r="C946" s="19">
        <v>45811</v>
      </c>
      <c r="D946" s="11">
        <v>29.135000000000002</v>
      </c>
      <c r="E946" s="15">
        <v>3.12</v>
      </c>
      <c r="F946" s="12">
        <v>1.93</v>
      </c>
      <c r="G946" s="12">
        <v>1.83</v>
      </c>
      <c r="H946" s="9" t="s">
        <v>9</v>
      </c>
      <c r="I946" s="9" t="s">
        <v>27</v>
      </c>
      <c r="J946" s="9" t="s">
        <v>110</v>
      </c>
      <c r="K946"/>
      <c r="U946"/>
      <c r="V946"/>
    </row>
    <row r="947" spans="1:22" ht="18">
      <c r="A947" s="9">
        <v>944</v>
      </c>
      <c r="B947" s="9">
        <v>273</v>
      </c>
      <c r="C947" s="19">
        <v>45811</v>
      </c>
      <c r="D947" s="11">
        <v>26.355</v>
      </c>
      <c r="E947" s="15">
        <v>3.07</v>
      </c>
      <c r="F947" s="12">
        <v>2.0499999999999998</v>
      </c>
      <c r="G947" s="12">
        <v>1.6</v>
      </c>
      <c r="H947" s="9" t="s">
        <v>9</v>
      </c>
      <c r="I947" s="9" t="s">
        <v>27</v>
      </c>
      <c r="J947" s="9" t="s">
        <v>110</v>
      </c>
      <c r="K947"/>
      <c r="U947"/>
      <c r="V947"/>
    </row>
    <row r="948" spans="1:22" ht="18">
      <c r="A948" s="9">
        <v>945</v>
      </c>
      <c r="B948" s="9">
        <v>274</v>
      </c>
      <c r="C948" s="19">
        <v>45811</v>
      </c>
      <c r="D948" s="11">
        <v>27.67</v>
      </c>
      <c r="E948" s="15">
        <v>3.05</v>
      </c>
      <c r="F948" s="12">
        <v>2.02</v>
      </c>
      <c r="G948" s="12">
        <v>1.67</v>
      </c>
      <c r="H948" s="9" t="s">
        <v>9</v>
      </c>
      <c r="I948" s="9" t="s">
        <v>27</v>
      </c>
      <c r="J948" s="9" t="s">
        <v>110</v>
      </c>
      <c r="K948"/>
      <c r="U948"/>
      <c r="V948"/>
    </row>
    <row r="949" spans="1:22" ht="18">
      <c r="A949" s="9">
        <v>946</v>
      </c>
      <c r="B949" s="9">
        <v>275</v>
      </c>
      <c r="C949" s="19">
        <v>45811</v>
      </c>
      <c r="D949" s="11">
        <v>25.504999999999999</v>
      </c>
      <c r="E949" s="15">
        <v>3.04</v>
      </c>
      <c r="F949" s="12">
        <v>1.64</v>
      </c>
      <c r="G949" s="12">
        <v>1.94</v>
      </c>
      <c r="H949" s="9" t="s">
        <v>9</v>
      </c>
      <c r="I949" s="9" t="s">
        <v>27</v>
      </c>
      <c r="J949" s="9" t="s">
        <v>110</v>
      </c>
      <c r="K949"/>
      <c r="U949"/>
      <c r="V949"/>
    </row>
    <row r="950" spans="1:22" ht="18">
      <c r="A950" s="9">
        <v>947</v>
      </c>
      <c r="B950" s="9">
        <v>276</v>
      </c>
      <c r="C950" s="19">
        <v>45811</v>
      </c>
      <c r="D950" s="11">
        <v>25.045000000000002</v>
      </c>
      <c r="E950" s="15">
        <v>3.32</v>
      </c>
      <c r="F950" s="12">
        <v>1.93</v>
      </c>
      <c r="G950" s="12">
        <v>1.67</v>
      </c>
      <c r="H950" s="9" t="s">
        <v>9</v>
      </c>
      <c r="I950" s="9" t="s">
        <v>27</v>
      </c>
      <c r="J950" s="9" t="s">
        <v>110</v>
      </c>
      <c r="K950"/>
      <c r="U950"/>
      <c r="V950"/>
    </row>
    <row r="951" spans="1:22" ht="18">
      <c r="A951" s="9">
        <v>948</v>
      </c>
      <c r="B951" s="9">
        <v>277</v>
      </c>
      <c r="C951" s="19">
        <v>45811</v>
      </c>
      <c r="D951" s="11">
        <v>26.914999999999999</v>
      </c>
      <c r="E951" s="15">
        <v>2.9</v>
      </c>
      <c r="F951" s="12">
        <v>1.92</v>
      </c>
      <c r="G951" s="12">
        <v>1.8</v>
      </c>
      <c r="H951" s="9" t="s">
        <v>9</v>
      </c>
      <c r="I951" s="9" t="s">
        <v>27</v>
      </c>
      <c r="J951" s="9" t="s">
        <v>110</v>
      </c>
      <c r="K951"/>
      <c r="U951"/>
      <c r="V951"/>
    </row>
    <row r="952" spans="1:22" ht="18">
      <c r="A952" s="9">
        <v>949</v>
      </c>
      <c r="B952" s="9">
        <v>278</v>
      </c>
      <c r="C952" s="19">
        <v>45811</v>
      </c>
      <c r="D952" s="11">
        <v>34.450000000000003</v>
      </c>
      <c r="E952" s="15">
        <v>3.02</v>
      </c>
      <c r="F952" s="12">
        <v>2.12</v>
      </c>
      <c r="G952" s="12">
        <v>2.06</v>
      </c>
      <c r="H952" s="9" t="s">
        <v>9</v>
      </c>
      <c r="I952" s="9" t="s">
        <v>27</v>
      </c>
      <c r="J952" s="9" t="s">
        <v>109</v>
      </c>
      <c r="K952"/>
      <c r="U952"/>
      <c r="V952"/>
    </row>
    <row r="953" spans="1:22" ht="18">
      <c r="A953" s="9">
        <v>950</v>
      </c>
      <c r="B953" s="9">
        <v>279</v>
      </c>
      <c r="C953" s="19">
        <v>45811</v>
      </c>
      <c r="D953" s="11">
        <v>21.53</v>
      </c>
      <c r="E953" s="15">
        <v>3.2</v>
      </c>
      <c r="F953" s="12">
        <v>1.35</v>
      </c>
      <c r="G953" s="12">
        <v>1.8</v>
      </c>
      <c r="H953" s="9" t="s">
        <v>9</v>
      </c>
      <c r="I953" s="9" t="s">
        <v>27</v>
      </c>
      <c r="J953" s="9" t="s">
        <v>109</v>
      </c>
      <c r="K953"/>
      <c r="U953"/>
      <c r="V953"/>
    </row>
    <row r="954" spans="1:22" ht="18">
      <c r="A954" s="9">
        <v>951</v>
      </c>
      <c r="B954" s="9">
        <v>280</v>
      </c>
      <c r="C954" s="19">
        <v>45811</v>
      </c>
      <c r="D954" s="11">
        <v>23.32</v>
      </c>
      <c r="E954" s="15">
        <v>2.98</v>
      </c>
      <c r="F954" s="12">
        <v>1.85</v>
      </c>
      <c r="G954" s="12">
        <v>1.8</v>
      </c>
      <c r="H954" s="9" t="s">
        <v>9</v>
      </c>
      <c r="I954" s="9" t="s">
        <v>27</v>
      </c>
      <c r="J954" s="9" t="s">
        <v>107</v>
      </c>
      <c r="K954"/>
      <c r="U954"/>
      <c r="V954"/>
    </row>
    <row r="955" spans="1:22" ht="18" hidden="1">
      <c r="A955" s="9">
        <v>952</v>
      </c>
      <c r="B955" s="9">
        <v>281</v>
      </c>
      <c r="C955" s="19">
        <v>45811</v>
      </c>
      <c r="D955" s="11">
        <v>28.04</v>
      </c>
      <c r="E955" s="15">
        <v>3.12</v>
      </c>
      <c r="F955" s="12">
        <v>1.7</v>
      </c>
      <c r="G955" s="12">
        <v>1.9</v>
      </c>
      <c r="H955" s="9" t="s">
        <v>114</v>
      </c>
      <c r="I955" s="9" t="s">
        <v>10</v>
      </c>
      <c r="J955" s="9" t="s">
        <v>22</v>
      </c>
      <c r="K955"/>
      <c r="U955"/>
      <c r="V955"/>
    </row>
    <row r="956" spans="1:22" ht="18" hidden="1">
      <c r="A956" s="9">
        <v>953</v>
      </c>
      <c r="B956" s="9">
        <v>282</v>
      </c>
      <c r="C956" s="19">
        <v>45811</v>
      </c>
      <c r="D956" s="11">
        <v>16</v>
      </c>
      <c r="E956" s="15">
        <v>3.18</v>
      </c>
      <c r="F956" s="12">
        <v>2.04</v>
      </c>
      <c r="G956" s="12">
        <v>0.95</v>
      </c>
      <c r="H956" s="9" t="s">
        <v>114</v>
      </c>
      <c r="I956" s="9" t="s">
        <v>10</v>
      </c>
      <c r="J956" s="9" t="s">
        <v>22</v>
      </c>
      <c r="K956"/>
      <c r="U956"/>
      <c r="V956"/>
    </row>
    <row r="957" spans="1:22" ht="18" hidden="1">
      <c r="A957" s="9">
        <v>954</v>
      </c>
      <c r="B957" s="9">
        <v>283</v>
      </c>
      <c r="C957" s="19">
        <v>45811</v>
      </c>
      <c r="D957" s="11">
        <v>12.414999999999999</v>
      </c>
      <c r="E957" s="15">
        <v>3.17</v>
      </c>
      <c r="F957" s="12">
        <v>0.7</v>
      </c>
      <c r="G957" s="12">
        <v>2</v>
      </c>
      <c r="H957" s="9" t="s">
        <v>114</v>
      </c>
      <c r="I957" s="9" t="s">
        <v>10</v>
      </c>
      <c r="J957" s="9" t="s">
        <v>22</v>
      </c>
      <c r="K957"/>
      <c r="U957"/>
      <c r="V957"/>
    </row>
    <row r="958" spans="1:22" ht="18" hidden="1">
      <c r="A958" s="9">
        <v>955</v>
      </c>
      <c r="B958" s="9">
        <v>284</v>
      </c>
      <c r="C958" s="19">
        <v>45811</v>
      </c>
      <c r="D958" s="11">
        <v>29.67</v>
      </c>
      <c r="E958" s="15">
        <v>3</v>
      </c>
      <c r="F958" s="12">
        <v>1.8</v>
      </c>
      <c r="G958" s="12">
        <v>2</v>
      </c>
      <c r="H958" s="9" t="s">
        <v>114</v>
      </c>
      <c r="I958" s="9" t="s">
        <v>10</v>
      </c>
      <c r="J958" s="9" t="s">
        <v>22</v>
      </c>
      <c r="K958"/>
      <c r="U958"/>
      <c r="V958"/>
    </row>
    <row r="959" spans="1:22" ht="18">
      <c r="A959" s="9">
        <v>956</v>
      </c>
      <c r="B959" s="9">
        <v>285</v>
      </c>
      <c r="C959" s="19">
        <v>45811</v>
      </c>
      <c r="D959" s="11">
        <v>13.175000000000001</v>
      </c>
      <c r="E959" s="15">
        <v>1.95</v>
      </c>
      <c r="F959" s="12">
        <v>1.8</v>
      </c>
      <c r="G959" s="12">
        <v>1.4</v>
      </c>
      <c r="H959" s="9" t="s">
        <v>9</v>
      </c>
      <c r="I959" s="9" t="s">
        <v>27</v>
      </c>
      <c r="J959" s="9" t="s">
        <v>113</v>
      </c>
      <c r="K959"/>
      <c r="U959"/>
      <c r="V959"/>
    </row>
    <row r="960" spans="1:22" ht="18">
      <c r="A960" s="9">
        <v>957</v>
      </c>
      <c r="B960" s="9">
        <v>286</v>
      </c>
      <c r="C960" s="19">
        <v>45811</v>
      </c>
      <c r="D960" s="11">
        <v>12.25</v>
      </c>
      <c r="E960" s="15">
        <v>2.74</v>
      </c>
      <c r="F960" s="12">
        <v>1.2</v>
      </c>
      <c r="G960" s="12">
        <v>1.45</v>
      </c>
      <c r="H960" s="9" t="s">
        <v>9</v>
      </c>
      <c r="I960" s="9" t="s">
        <v>27</v>
      </c>
      <c r="J960" s="9" t="s">
        <v>113</v>
      </c>
      <c r="K960"/>
      <c r="U960"/>
      <c r="V960"/>
    </row>
    <row r="961" spans="1:22" ht="18">
      <c r="A961" s="9">
        <v>958</v>
      </c>
      <c r="B961" s="9">
        <v>287</v>
      </c>
      <c r="C961" s="19">
        <v>45811</v>
      </c>
      <c r="D961" s="11">
        <v>24.574999999999999</v>
      </c>
      <c r="E961" s="15">
        <v>3.1</v>
      </c>
      <c r="F961" s="12">
        <v>1.88</v>
      </c>
      <c r="G961" s="12">
        <v>1.85</v>
      </c>
      <c r="H961" s="9" t="s">
        <v>9</v>
      </c>
      <c r="I961" s="9" t="s">
        <v>27</v>
      </c>
      <c r="J961" s="9" t="s">
        <v>107</v>
      </c>
      <c r="K961"/>
      <c r="U961"/>
      <c r="V961"/>
    </row>
    <row r="962" spans="1:22" ht="18">
      <c r="A962" s="9">
        <v>959</v>
      </c>
      <c r="B962" s="9">
        <v>288</v>
      </c>
      <c r="C962" s="19">
        <v>45812</v>
      </c>
      <c r="D962" s="11">
        <v>26.385000000000002</v>
      </c>
      <c r="E962" s="15">
        <v>3</v>
      </c>
      <c r="F962" s="12">
        <v>1.9</v>
      </c>
      <c r="G962" s="12">
        <v>1.94</v>
      </c>
      <c r="H962" s="9" t="s">
        <v>9</v>
      </c>
      <c r="I962" s="9" t="s">
        <v>27</v>
      </c>
      <c r="J962" s="9" t="s">
        <v>116</v>
      </c>
      <c r="K962"/>
      <c r="U962"/>
      <c r="V962"/>
    </row>
    <row r="963" spans="1:22" ht="18">
      <c r="A963" s="9">
        <v>960</v>
      </c>
      <c r="B963" s="9">
        <v>289</v>
      </c>
      <c r="C963" s="19">
        <v>45812</v>
      </c>
      <c r="D963" s="11">
        <v>23.95</v>
      </c>
      <c r="E963" s="15">
        <v>2.85</v>
      </c>
      <c r="F963" s="12">
        <v>1.98</v>
      </c>
      <c r="G963" s="12">
        <v>1.55</v>
      </c>
      <c r="H963" s="9" t="s">
        <v>9</v>
      </c>
      <c r="I963" s="9" t="s">
        <v>27</v>
      </c>
      <c r="J963" s="9" t="s">
        <v>109</v>
      </c>
      <c r="K963"/>
      <c r="U963"/>
      <c r="V963"/>
    </row>
    <row r="964" spans="1:22" ht="18">
      <c r="A964" s="9">
        <v>961</v>
      </c>
      <c r="B964" s="9">
        <v>290</v>
      </c>
      <c r="C964" s="19">
        <v>45812</v>
      </c>
      <c r="D964" s="11">
        <v>25.524999999999999</v>
      </c>
      <c r="E964" s="15">
        <v>3.15</v>
      </c>
      <c r="F964" s="12">
        <v>1.8</v>
      </c>
      <c r="G964" s="12">
        <v>1.75</v>
      </c>
      <c r="H964" s="9" t="s">
        <v>9</v>
      </c>
      <c r="I964" s="9" t="s">
        <v>27</v>
      </c>
      <c r="J964" s="9" t="s">
        <v>107</v>
      </c>
      <c r="K964"/>
      <c r="U964"/>
      <c r="V964"/>
    </row>
    <row r="965" spans="1:22" ht="18">
      <c r="A965" s="9">
        <v>962</v>
      </c>
      <c r="B965" s="9">
        <v>291</v>
      </c>
      <c r="C965" s="19">
        <v>45812</v>
      </c>
      <c r="D965" s="11">
        <v>31.91</v>
      </c>
      <c r="E965" s="15">
        <v>2.95</v>
      </c>
      <c r="F965" s="12">
        <v>2.04</v>
      </c>
      <c r="G965" s="12">
        <v>2</v>
      </c>
      <c r="H965" s="9" t="s">
        <v>9</v>
      </c>
      <c r="I965" s="9" t="s">
        <v>27</v>
      </c>
      <c r="J965" s="9" t="s">
        <v>109</v>
      </c>
      <c r="K965"/>
      <c r="U965"/>
      <c r="V965"/>
    </row>
    <row r="966" spans="1:22" ht="18">
      <c r="A966" s="9">
        <v>963</v>
      </c>
      <c r="B966" s="9">
        <v>292</v>
      </c>
      <c r="C966" s="19">
        <v>45812</v>
      </c>
      <c r="D966" s="11">
        <v>21.24</v>
      </c>
      <c r="E966" s="15">
        <v>2.2999999999999998</v>
      </c>
      <c r="F966" s="12">
        <v>1.68</v>
      </c>
      <c r="G966" s="12">
        <v>2</v>
      </c>
      <c r="H966" s="9" t="s">
        <v>9</v>
      </c>
      <c r="I966" s="9" t="s">
        <v>27</v>
      </c>
      <c r="J966" s="9" t="s">
        <v>107</v>
      </c>
      <c r="K966"/>
      <c r="U966"/>
      <c r="V966"/>
    </row>
    <row r="967" spans="1:22" ht="18">
      <c r="A967" s="9">
        <v>964</v>
      </c>
      <c r="B967" s="9">
        <v>293</v>
      </c>
      <c r="C967" s="19">
        <v>45812</v>
      </c>
      <c r="D967" s="11">
        <v>20.085000000000001</v>
      </c>
      <c r="E967" s="15">
        <v>2.95</v>
      </c>
      <c r="F967" s="12">
        <v>1.65</v>
      </c>
      <c r="G967" s="12">
        <v>1.65</v>
      </c>
      <c r="H967" s="9" t="s">
        <v>9</v>
      </c>
      <c r="I967" s="9" t="s">
        <v>27</v>
      </c>
      <c r="J967" s="9" t="s">
        <v>107</v>
      </c>
      <c r="K967"/>
      <c r="U967"/>
      <c r="V967"/>
    </row>
    <row r="968" spans="1:22" ht="18">
      <c r="A968" s="9">
        <v>965</v>
      </c>
      <c r="B968" s="9">
        <v>294</v>
      </c>
      <c r="C968" s="19">
        <v>45812</v>
      </c>
      <c r="D968" s="11">
        <v>13.26</v>
      </c>
      <c r="E968" s="15">
        <v>2.5</v>
      </c>
      <c r="F968" s="12">
        <v>1.93</v>
      </c>
      <c r="G968" s="12">
        <v>1.1499999999999999</v>
      </c>
      <c r="H968" s="9" t="s">
        <v>9</v>
      </c>
      <c r="I968" s="9" t="s">
        <v>27</v>
      </c>
      <c r="J968" s="9" t="s">
        <v>107</v>
      </c>
      <c r="K968"/>
      <c r="U968"/>
      <c r="V968"/>
    </row>
    <row r="969" spans="1:22" ht="18">
      <c r="A969" s="9">
        <v>966</v>
      </c>
      <c r="B969" s="9">
        <v>295</v>
      </c>
      <c r="C969" s="19">
        <v>45812</v>
      </c>
      <c r="D969" s="11">
        <v>12.645</v>
      </c>
      <c r="E969" s="15">
        <v>1.8</v>
      </c>
      <c r="F969" s="12">
        <v>1.95</v>
      </c>
      <c r="G969" s="12">
        <v>1.54</v>
      </c>
      <c r="H969" s="9" t="s">
        <v>9</v>
      </c>
      <c r="I969" s="9" t="s">
        <v>27</v>
      </c>
      <c r="J969" s="9" t="s">
        <v>107</v>
      </c>
      <c r="K969"/>
      <c r="U969"/>
      <c r="V969"/>
    </row>
    <row r="970" spans="1:22" ht="18">
      <c r="A970" s="9">
        <v>967</v>
      </c>
      <c r="B970" s="9">
        <v>296</v>
      </c>
      <c r="C970" s="19">
        <v>45813</v>
      </c>
      <c r="D970" s="11">
        <v>26.32</v>
      </c>
      <c r="E970" s="15">
        <v>2.5299999999999998</v>
      </c>
      <c r="F970" s="12">
        <v>2</v>
      </c>
      <c r="G970" s="12">
        <v>1.98</v>
      </c>
      <c r="H970" s="9" t="s">
        <v>9</v>
      </c>
      <c r="I970" s="9" t="s">
        <v>27</v>
      </c>
      <c r="J970" s="9" t="s">
        <v>109</v>
      </c>
      <c r="K970"/>
      <c r="U970"/>
      <c r="V970"/>
    </row>
    <row r="971" spans="1:22" ht="18">
      <c r="A971" s="9">
        <v>968</v>
      </c>
      <c r="B971" s="9">
        <v>297</v>
      </c>
      <c r="C971" s="19">
        <v>45815</v>
      </c>
      <c r="D971" s="11">
        <v>18.38</v>
      </c>
      <c r="E971" s="15">
        <v>2.4</v>
      </c>
      <c r="F971" s="12">
        <v>1.5</v>
      </c>
      <c r="G971" s="12">
        <v>2.02</v>
      </c>
      <c r="H971" s="9" t="s">
        <v>111</v>
      </c>
      <c r="I971" s="9" t="s">
        <v>27</v>
      </c>
      <c r="J971" s="9" t="s">
        <v>110</v>
      </c>
      <c r="K971"/>
      <c r="U971"/>
      <c r="V971"/>
    </row>
    <row r="972" spans="1:22" ht="18">
      <c r="A972" s="9">
        <v>969</v>
      </c>
      <c r="B972" s="9">
        <v>298</v>
      </c>
      <c r="C972" s="19">
        <v>45815</v>
      </c>
      <c r="D972" s="11">
        <v>31.78</v>
      </c>
      <c r="E972" s="15">
        <v>3.05</v>
      </c>
      <c r="F972" s="12">
        <v>1.97</v>
      </c>
      <c r="G972" s="12">
        <v>2</v>
      </c>
      <c r="H972" s="9" t="s">
        <v>111</v>
      </c>
      <c r="I972" s="9" t="s">
        <v>27</v>
      </c>
      <c r="J972" s="9" t="s">
        <v>109</v>
      </c>
      <c r="K972"/>
      <c r="U972"/>
      <c r="V972"/>
    </row>
    <row r="973" spans="1:22" ht="18" hidden="1">
      <c r="A973" s="9">
        <v>970</v>
      </c>
      <c r="B973" s="9">
        <v>299</v>
      </c>
      <c r="C973" s="19">
        <v>45815</v>
      </c>
      <c r="D973" s="11">
        <v>22.98</v>
      </c>
      <c r="E973" s="15">
        <v>3.06</v>
      </c>
      <c r="F973" s="12">
        <v>1.65</v>
      </c>
      <c r="G973" s="12">
        <v>1.8</v>
      </c>
      <c r="H973" s="9" t="s">
        <v>114</v>
      </c>
      <c r="I973" s="9" t="s">
        <v>10</v>
      </c>
      <c r="J973" s="9" t="s">
        <v>22</v>
      </c>
      <c r="K973"/>
      <c r="U973"/>
      <c r="V973"/>
    </row>
    <row r="974" spans="1:22" ht="18" hidden="1">
      <c r="A974" s="9">
        <v>971</v>
      </c>
      <c r="B974" s="9">
        <v>300</v>
      </c>
      <c r="C974" s="19">
        <v>45815</v>
      </c>
      <c r="D974" s="11">
        <v>28.63</v>
      </c>
      <c r="E974" s="15">
        <v>3</v>
      </c>
      <c r="F974" s="12">
        <v>1.8</v>
      </c>
      <c r="G974" s="12">
        <v>2.0499999999999998</v>
      </c>
      <c r="H974" s="9" t="s">
        <v>114</v>
      </c>
      <c r="I974" s="9" t="s">
        <v>10</v>
      </c>
      <c r="J974" s="9" t="s">
        <v>22</v>
      </c>
      <c r="K974"/>
      <c r="U974"/>
      <c r="V974"/>
    </row>
    <row r="975" spans="1:22" ht="18">
      <c r="A975" s="9">
        <v>972</v>
      </c>
      <c r="B975" s="9">
        <v>301</v>
      </c>
      <c r="C975" s="19">
        <v>45815</v>
      </c>
      <c r="D975" s="11">
        <v>23.44</v>
      </c>
      <c r="E975" s="15">
        <v>2.65</v>
      </c>
      <c r="F975" s="12">
        <v>1.6</v>
      </c>
      <c r="G975" s="12">
        <v>1.98</v>
      </c>
      <c r="H975" s="9" t="s">
        <v>111</v>
      </c>
      <c r="I975" s="9" t="s">
        <v>27</v>
      </c>
      <c r="J975" s="9" t="s">
        <v>107</v>
      </c>
      <c r="K975"/>
      <c r="U975"/>
      <c r="V975"/>
    </row>
    <row r="976" spans="1:22" ht="18">
      <c r="A976" s="9">
        <v>973</v>
      </c>
      <c r="B976" s="9">
        <v>302</v>
      </c>
      <c r="C976" s="19">
        <v>45816</v>
      </c>
      <c r="D976" s="11">
        <v>25.81</v>
      </c>
      <c r="E976" s="15">
        <v>2.65</v>
      </c>
      <c r="F976" s="12">
        <v>2.0699999999999998</v>
      </c>
      <c r="G976" s="12">
        <v>1.83</v>
      </c>
      <c r="H976" s="9" t="s">
        <v>9</v>
      </c>
      <c r="I976" s="9" t="s">
        <v>27</v>
      </c>
      <c r="J976" s="9" t="s">
        <v>117</v>
      </c>
      <c r="K976"/>
      <c r="U976"/>
      <c r="V976"/>
    </row>
    <row r="977" spans="1:22" ht="18">
      <c r="A977" s="9">
        <v>974</v>
      </c>
      <c r="B977" s="9">
        <v>303</v>
      </c>
      <c r="C977" s="19">
        <v>45816</v>
      </c>
      <c r="D977" s="11">
        <v>19.864999999999998</v>
      </c>
      <c r="E977" s="15">
        <v>2.15</v>
      </c>
      <c r="F977" s="12">
        <v>1.97</v>
      </c>
      <c r="G977" s="12">
        <v>1.83</v>
      </c>
      <c r="H977" s="9" t="s">
        <v>111</v>
      </c>
      <c r="I977" s="9" t="s">
        <v>27</v>
      </c>
      <c r="J977" s="9" t="s">
        <v>107</v>
      </c>
      <c r="K977"/>
      <c r="U977"/>
      <c r="V977"/>
    </row>
    <row r="978" spans="1:22" ht="18">
      <c r="A978" s="9">
        <v>975</v>
      </c>
      <c r="B978" s="9">
        <v>304</v>
      </c>
      <c r="C978" s="19">
        <v>45816</v>
      </c>
      <c r="D978" s="11">
        <v>19.155000000000001</v>
      </c>
      <c r="E978" s="15">
        <v>2.4</v>
      </c>
      <c r="F978" s="12">
        <v>2.02</v>
      </c>
      <c r="G978" s="12">
        <v>1.45</v>
      </c>
      <c r="H978" s="9" t="s">
        <v>9</v>
      </c>
      <c r="I978" s="9" t="s">
        <v>27</v>
      </c>
      <c r="J978" s="9" t="s">
        <v>110</v>
      </c>
      <c r="K978"/>
      <c r="U978"/>
      <c r="V978"/>
    </row>
    <row r="979" spans="1:22" ht="18">
      <c r="A979" s="9">
        <v>976</v>
      </c>
      <c r="B979" s="9">
        <v>305</v>
      </c>
      <c r="C979" s="19">
        <v>45816</v>
      </c>
      <c r="D979" s="11">
        <v>24.824999999999999</v>
      </c>
      <c r="E979" s="15">
        <v>0.14000000000000001</v>
      </c>
      <c r="F979" s="12">
        <v>1.7</v>
      </c>
      <c r="G979" s="12">
        <v>1.78</v>
      </c>
      <c r="H979" s="9" t="s">
        <v>9</v>
      </c>
      <c r="I979" s="9" t="s">
        <v>27</v>
      </c>
      <c r="J979" s="9" t="s">
        <v>110</v>
      </c>
      <c r="K979"/>
      <c r="U979"/>
      <c r="V979"/>
    </row>
    <row r="980" spans="1:22" ht="18">
      <c r="A980" s="9">
        <v>977</v>
      </c>
      <c r="B980" s="9">
        <v>306</v>
      </c>
      <c r="C980" s="19">
        <v>45816</v>
      </c>
      <c r="D980" s="11">
        <v>18.015000000000001</v>
      </c>
      <c r="E980" s="15">
        <v>2.35</v>
      </c>
      <c r="F980" s="12">
        <v>1.42</v>
      </c>
      <c r="G980" s="12">
        <v>2.04</v>
      </c>
      <c r="H980" s="9" t="s">
        <v>9</v>
      </c>
      <c r="I980" s="9" t="s">
        <v>27</v>
      </c>
      <c r="J980" s="9" t="s">
        <v>117</v>
      </c>
      <c r="K980"/>
      <c r="U980"/>
      <c r="V980"/>
    </row>
    <row r="981" spans="1:22" ht="18">
      <c r="A981" s="9">
        <v>978</v>
      </c>
      <c r="B981" s="9">
        <v>307</v>
      </c>
      <c r="C981" s="19">
        <v>45816</v>
      </c>
      <c r="D981" s="11">
        <v>20.234999999999999</v>
      </c>
      <c r="E981" s="15">
        <v>2.44</v>
      </c>
      <c r="F981" s="12">
        <v>1.47</v>
      </c>
      <c r="G981" s="12">
        <v>1.99</v>
      </c>
      <c r="H981" s="9" t="s">
        <v>9</v>
      </c>
      <c r="I981" s="9" t="s">
        <v>27</v>
      </c>
      <c r="J981" s="9" t="s">
        <v>117</v>
      </c>
      <c r="K981"/>
      <c r="U981"/>
      <c r="V981"/>
    </row>
    <row r="982" spans="1:22" ht="18">
      <c r="A982" s="9">
        <v>979</v>
      </c>
      <c r="B982" s="9">
        <v>308</v>
      </c>
      <c r="C982" s="19">
        <v>45816</v>
      </c>
      <c r="D982" s="11">
        <v>20.66</v>
      </c>
      <c r="E982" s="15">
        <v>2.4500000000000002</v>
      </c>
      <c r="F982" s="12">
        <v>2.1</v>
      </c>
      <c r="G982" s="12">
        <v>1.6</v>
      </c>
      <c r="H982" s="9" t="s">
        <v>9</v>
      </c>
      <c r="I982" s="9" t="s">
        <v>27</v>
      </c>
      <c r="J982" s="9" t="s">
        <v>117</v>
      </c>
      <c r="K982"/>
      <c r="U982"/>
      <c r="V982"/>
    </row>
    <row r="983" spans="1:22" ht="18">
      <c r="A983" s="9">
        <v>980</v>
      </c>
      <c r="B983" s="9">
        <v>309</v>
      </c>
      <c r="C983" s="19">
        <v>45816</v>
      </c>
      <c r="D983" s="11">
        <v>25.02</v>
      </c>
      <c r="E983" s="15">
        <v>2.4</v>
      </c>
      <c r="F983" s="12">
        <v>2.08</v>
      </c>
      <c r="G983" s="12">
        <v>2</v>
      </c>
      <c r="H983" s="9" t="s">
        <v>9</v>
      </c>
      <c r="I983" s="9" t="s">
        <v>27</v>
      </c>
      <c r="J983" s="9" t="s">
        <v>117</v>
      </c>
      <c r="K983"/>
      <c r="U983"/>
      <c r="V983"/>
    </row>
    <row r="984" spans="1:22" ht="18">
      <c r="A984" s="9">
        <v>981</v>
      </c>
      <c r="B984" s="9">
        <v>310</v>
      </c>
      <c r="C984" s="19">
        <v>45816</v>
      </c>
      <c r="D984" s="11">
        <v>22.9</v>
      </c>
      <c r="E984" s="15">
        <v>2.5</v>
      </c>
      <c r="F984" s="12">
        <v>1.85</v>
      </c>
      <c r="G984" s="12">
        <v>1.85</v>
      </c>
      <c r="H984" s="9" t="s">
        <v>9</v>
      </c>
      <c r="I984" s="9" t="s">
        <v>27</v>
      </c>
      <c r="J984" s="9" t="s">
        <v>109</v>
      </c>
      <c r="K984"/>
      <c r="U984"/>
      <c r="V984"/>
    </row>
    <row r="985" spans="1:22" ht="18">
      <c r="A985" s="9">
        <v>982</v>
      </c>
      <c r="B985" s="9">
        <v>311</v>
      </c>
      <c r="C985" s="19">
        <v>45816</v>
      </c>
      <c r="D985" s="11">
        <v>31.7</v>
      </c>
      <c r="E985" s="15">
        <v>3</v>
      </c>
      <c r="F985" s="12">
        <v>2</v>
      </c>
      <c r="G985" s="12">
        <v>1.92</v>
      </c>
      <c r="H985" s="9" t="s">
        <v>9</v>
      </c>
      <c r="I985" s="9" t="s">
        <v>27</v>
      </c>
      <c r="J985" s="9" t="s">
        <v>109</v>
      </c>
      <c r="K985"/>
      <c r="U985"/>
      <c r="V985"/>
    </row>
    <row r="986" spans="1:22" ht="18">
      <c r="A986" s="9">
        <v>983</v>
      </c>
      <c r="B986" s="9">
        <v>312</v>
      </c>
      <c r="C986" s="19">
        <v>45817</v>
      </c>
      <c r="D986" s="11">
        <v>22.68</v>
      </c>
      <c r="E986" s="15">
        <v>2.67</v>
      </c>
      <c r="F986" s="12">
        <v>1.94</v>
      </c>
      <c r="G986" s="12">
        <v>1.57</v>
      </c>
      <c r="H986" s="9" t="s">
        <v>9</v>
      </c>
      <c r="I986" s="9" t="s">
        <v>27</v>
      </c>
      <c r="J986" s="9" t="s">
        <v>117</v>
      </c>
      <c r="K986"/>
      <c r="U986"/>
      <c r="V986"/>
    </row>
    <row r="987" spans="1:22" ht="18">
      <c r="A987" s="9">
        <v>984</v>
      </c>
      <c r="B987" s="9">
        <v>313</v>
      </c>
      <c r="C987" s="19">
        <v>45817</v>
      </c>
      <c r="D987" s="11">
        <v>24.2</v>
      </c>
      <c r="E987" s="15">
        <v>2.85</v>
      </c>
      <c r="F987" s="12">
        <v>1.85</v>
      </c>
      <c r="G987" s="12">
        <v>1.7</v>
      </c>
      <c r="H987" s="9" t="s">
        <v>9</v>
      </c>
      <c r="I987" s="9" t="s">
        <v>27</v>
      </c>
      <c r="J987" s="9" t="s">
        <v>109</v>
      </c>
      <c r="K987"/>
      <c r="U987"/>
      <c r="V987"/>
    </row>
    <row r="988" spans="1:22" ht="18">
      <c r="A988" s="9">
        <v>985</v>
      </c>
      <c r="B988" s="9">
        <v>314</v>
      </c>
      <c r="C988" s="19">
        <v>45817</v>
      </c>
      <c r="D988" s="11">
        <v>30.85</v>
      </c>
      <c r="E988" s="15">
        <v>2.8</v>
      </c>
      <c r="F988" s="12">
        <v>2.0499999999999998</v>
      </c>
      <c r="G988" s="12">
        <v>2</v>
      </c>
      <c r="H988" s="9" t="s">
        <v>9</v>
      </c>
      <c r="I988" s="9" t="s">
        <v>27</v>
      </c>
      <c r="J988" s="9" t="s">
        <v>109</v>
      </c>
      <c r="K988"/>
      <c r="U988"/>
      <c r="V988"/>
    </row>
    <row r="989" spans="1:22" ht="18">
      <c r="A989" s="9">
        <v>986</v>
      </c>
      <c r="B989" s="9">
        <v>315</v>
      </c>
      <c r="C989" s="19">
        <v>45817</v>
      </c>
      <c r="D989" s="11">
        <v>34.549999999999997</v>
      </c>
      <c r="E989" s="15">
        <v>3</v>
      </c>
      <c r="F989" s="12">
        <v>2.1</v>
      </c>
      <c r="G989" s="12">
        <v>2</v>
      </c>
      <c r="H989" s="9" t="s">
        <v>9</v>
      </c>
      <c r="I989" s="9" t="s">
        <v>27</v>
      </c>
      <c r="J989" s="9" t="s">
        <v>109</v>
      </c>
      <c r="K989"/>
      <c r="U989"/>
      <c r="V989"/>
    </row>
    <row r="990" spans="1:22" ht="18">
      <c r="A990" s="9">
        <v>987</v>
      </c>
      <c r="B990" s="9">
        <v>316</v>
      </c>
      <c r="C990" s="19">
        <v>45817</v>
      </c>
      <c r="D990" s="11">
        <v>30.13</v>
      </c>
      <c r="E990" s="15">
        <v>3</v>
      </c>
      <c r="F990" s="12">
        <v>1.9</v>
      </c>
      <c r="G990" s="12">
        <v>1.9</v>
      </c>
      <c r="H990" s="9" t="s">
        <v>9</v>
      </c>
      <c r="I990" s="9" t="s">
        <v>27</v>
      </c>
      <c r="J990" s="9" t="s">
        <v>109</v>
      </c>
      <c r="K990"/>
      <c r="U990"/>
      <c r="V990"/>
    </row>
    <row r="991" spans="1:22" ht="18">
      <c r="A991" s="9">
        <v>988</v>
      </c>
      <c r="B991" s="9">
        <v>317</v>
      </c>
      <c r="C991" s="19">
        <v>45817</v>
      </c>
      <c r="D991" s="11">
        <v>24.46</v>
      </c>
      <c r="E991" s="15">
        <v>2.4</v>
      </c>
      <c r="F991" s="12">
        <v>2.25</v>
      </c>
      <c r="G991" s="12">
        <v>1.95</v>
      </c>
      <c r="H991" s="9" t="s">
        <v>9</v>
      </c>
      <c r="I991" s="9" t="s">
        <v>27</v>
      </c>
      <c r="J991" s="9" t="s">
        <v>107</v>
      </c>
      <c r="K991"/>
      <c r="U991"/>
      <c r="V991"/>
    </row>
    <row r="992" spans="1:22" ht="18">
      <c r="A992" s="9">
        <v>989</v>
      </c>
      <c r="B992" s="9">
        <v>318</v>
      </c>
      <c r="C992" s="19">
        <v>45817</v>
      </c>
      <c r="D992" s="11">
        <v>25.16</v>
      </c>
      <c r="E992" s="15">
        <v>3.1</v>
      </c>
      <c r="F992" s="12">
        <v>1.6</v>
      </c>
      <c r="G992" s="12">
        <v>1.96</v>
      </c>
      <c r="H992" s="9" t="s">
        <v>111</v>
      </c>
      <c r="I992" s="9" t="s">
        <v>27</v>
      </c>
      <c r="J992" s="9" t="s">
        <v>112</v>
      </c>
      <c r="K992"/>
      <c r="U992"/>
      <c r="V992"/>
    </row>
    <row r="993" spans="1:22" ht="18">
      <c r="A993" s="9">
        <v>990</v>
      </c>
      <c r="B993" s="9">
        <v>319</v>
      </c>
      <c r="C993" s="19">
        <v>45817</v>
      </c>
      <c r="D993" s="11">
        <v>28.35</v>
      </c>
      <c r="E993" s="15">
        <v>2.95</v>
      </c>
      <c r="F993" s="12">
        <v>2.0499999999999998</v>
      </c>
      <c r="G993" s="12">
        <v>1.85</v>
      </c>
      <c r="H993" s="9" t="s">
        <v>111</v>
      </c>
      <c r="I993" s="9" t="s">
        <v>27</v>
      </c>
      <c r="J993" s="9" t="s">
        <v>107</v>
      </c>
      <c r="K993"/>
      <c r="U993"/>
      <c r="V993"/>
    </row>
    <row r="994" spans="1:22" ht="18">
      <c r="A994" s="9">
        <v>991</v>
      </c>
      <c r="B994" s="9">
        <v>320</v>
      </c>
      <c r="C994" s="19">
        <v>45818</v>
      </c>
      <c r="D994" s="11">
        <v>32.36</v>
      </c>
      <c r="E994" s="15">
        <v>3</v>
      </c>
      <c r="F994" s="12">
        <v>1.99</v>
      </c>
      <c r="G994" s="12">
        <v>2.0099999999999998</v>
      </c>
      <c r="H994" s="9" t="s">
        <v>111</v>
      </c>
      <c r="I994" s="9" t="s">
        <v>27</v>
      </c>
      <c r="J994" s="9" t="s">
        <v>109</v>
      </c>
      <c r="K994"/>
      <c r="U994"/>
      <c r="V994"/>
    </row>
    <row r="995" spans="1:22" ht="18">
      <c r="A995" s="9">
        <v>992</v>
      </c>
      <c r="B995" s="9">
        <v>321</v>
      </c>
      <c r="C995" s="19">
        <v>45819</v>
      </c>
      <c r="D995" s="11">
        <v>32.57</v>
      </c>
      <c r="E995" s="15">
        <v>2.9</v>
      </c>
      <c r="F995" s="12">
        <v>2.1</v>
      </c>
      <c r="G995" s="12">
        <v>2</v>
      </c>
      <c r="H995" s="9" t="s">
        <v>9</v>
      </c>
      <c r="I995" s="9" t="s">
        <v>27</v>
      </c>
      <c r="J995" s="9" t="s">
        <v>109</v>
      </c>
      <c r="K995"/>
      <c r="U995"/>
      <c r="V995"/>
    </row>
    <row r="996" spans="1:22" ht="18">
      <c r="A996" s="9">
        <v>993</v>
      </c>
      <c r="B996" s="9">
        <v>322</v>
      </c>
      <c r="C996" s="19">
        <v>45819</v>
      </c>
      <c r="D996" s="11">
        <v>30.6</v>
      </c>
      <c r="E996" s="15">
        <v>2.95</v>
      </c>
      <c r="F996" s="12">
        <v>1.95</v>
      </c>
      <c r="G996" s="12">
        <v>2</v>
      </c>
      <c r="H996" s="9" t="s">
        <v>9</v>
      </c>
      <c r="I996" s="9" t="s">
        <v>27</v>
      </c>
      <c r="J996" s="9" t="s">
        <v>109</v>
      </c>
      <c r="K996"/>
      <c r="U996"/>
      <c r="V996"/>
    </row>
    <row r="997" spans="1:22" ht="18">
      <c r="A997" s="9">
        <v>994</v>
      </c>
      <c r="B997" s="9">
        <v>323</v>
      </c>
      <c r="C997" s="19">
        <v>45819</v>
      </c>
      <c r="D997" s="11">
        <v>21.95</v>
      </c>
      <c r="E997" s="15">
        <v>2.5</v>
      </c>
      <c r="F997" s="12">
        <v>2.0499999999999998</v>
      </c>
      <c r="G997" s="12">
        <v>1.78</v>
      </c>
      <c r="H997" s="9" t="s">
        <v>9</v>
      </c>
      <c r="I997" s="9" t="s">
        <v>27</v>
      </c>
      <c r="J997" s="9" t="s">
        <v>109</v>
      </c>
      <c r="K997"/>
      <c r="U997"/>
      <c r="V997"/>
    </row>
    <row r="998" spans="1:22" ht="18">
      <c r="A998" s="9">
        <v>995</v>
      </c>
      <c r="B998" s="9">
        <v>324</v>
      </c>
      <c r="C998" s="19">
        <v>45820</v>
      </c>
      <c r="D998" s="11">
        <v>27.07</v>
      </c>
      <c r="E998" s="15">
        <v>3.05</v>
      </c>
      <c r="F998" s="12">
        <v>1.63</v>
      </c>
      <c r="G998" s="12">
        <v>1.83</v>
      </c>
      <c r="H998" s="9" t="s">
        <v>9</v>
      </c>
      <c r="I998" s="9" t="s">
        <v>27</v>
      </c>
      <c r="J998" s="9" t="s">
        <v>109</v>
      </c>
      <c r="K998"/>
      <c r="U998"/>
      <c r="V998"/>
    </row>
    <row r="999" spans="1:22" ht="18">
      <c r="A999" s="9">
        <v>996</v>
      </c>
      <c r="B999" s="9">
        <v>325</v>
      </c>
      <c r="C999" s="19">
        <v>45823</v>
      </c>
      <c r="D999" s="11">
        <v>25.934999999999999</v>
      </c>
      <c r="E999" s="15">
        <v>3</v>
      </c>
      <c r="F999" s="12">
        <v>1.6</v>
      </c>
      <c r="G999" s="12">
        <v>2.04</v>
      </c>
      <c r="H999" s="9" t="s">
        <v>9</v>
      </c>
      <c r="I999" s="9" t="s">
        <v>27</v>
      </c>
      <c r="J999" s="9" t="s">
        <v>112</v>
      </c>
      <c r="K999"/>
      <c r="U999"/>
      <c r="V999"/>
    </row>
    <row r="1000" spans="1:22" ht="18">
      <c r="A1000" s="9">
        <v>997</v>
      </c>
      <c r="B1000" s="9">
        <v>326</v>
      </c>
      <c r="C1000" s="19">
        <v>45823</v>
      </c>
      <c r="D1000" s="11">
        <v>12.535</v>
      </c>
      <c r="E1000" s="15">
        <v>2.0699999999999998</v>
      </c>
      <c r="F1000" s="12">
        <v>1.65</v>
      </c>
      <c r="G1000" s="12">
        <v>1.5</v>
      </c>
      <c r="H1000" s="9" t="s">
        <v>9</v>
      </c>
      <c r="I1000" s="9" t="s">
        <v>27</v>
      </c>
      <c r="J1000" s="9" t="s">
        <v>112</v>
      </c>
      <c r="K1000"/>
      <c r="U1000"/>
      <c r="V1000"/>
    </row>
    <row r="1001" spans="1:22" ht="18">
      <c r="A1001" s="9">
        <v>998</v>
      </c>
      <c r="B1001" s="9">
        <v>327</v>
      </c>
      <c r="C1001" s="19">
        <v>45823</v>
      </c>
      <c r="D1001" s="11">
        <v>15.16</v>
      </c>
      <c r="E1001" s="15">
        <v>2.4300000000000002</v>
      </c>
      <c r="F1001" s="12">
        <v>2</v>
      </c>
      <c r="G1001" s="12">
        <v>1.25</v>
      </c>
      <c r="H1001" s="9" t="s">
        <v>9</v>
      </c>
      <c r="I1001" s="9" t="s">
        <v>27</v>
      </c>
      <c r="J1001" s="9" t="s">
        <v>112</v>
      </c>
      <c r="K1001"/>
      <c r="U1001"/>
      <c r="V1001"/>
    </row>
    <row r="1002" spans="1:22" ht="18">
      <c r="A1002" s="9">
        <v>999</v>
      </c>
      <c r="B1002" s="9">
        <v>328</v>
      </c>
      <c r="C1002" s="19">
        <v>45823</v>
      </c>
      <c r="D1002" s="11">
        <v>12.88</v>
      </c>
      <c r="E1002" s="15">
        <v>2</v>
      </c>
      <c r="F1002" s="12">
        <v>1.5</v>
      </c>
      <c r="G1002" s="12">
        <v>1.6</v>
      </c>
      <c r="H1002" s="9" t="s">
        <v>9</v>
      </c>
      <c r="I1002" s="9" t="s">
        <v>27</v>
      </c>
      <c r="J1002" s="9" t="s">
        <v>112</v>
      </c>
      <c r="K1002"/>
      <c r="U1002"/>
      <c r="V1002"/>
    </row>
    <row r="1003" spans="1:22" ht="18">
      <c r="A1003" s="9">
        <v>1000</v>
      </c>
      <c r="B1003" s="9">
        <v>329</v>
      </c>
      <c r="C1003" s="19">
        <v>45823</v>
      </c>
      <c r="D1003" s="11">
        <v>12.865</v>
      </c>
      <c r="E1003" s="15">
        <v>2.1</v>
      </c>
      <c r="F1003" s="12">
        <v>1.4</v>
      </c>
      <c r="G1003" s="12">
        <v>1.92</v>
      </c>
      <c r="H1003" s="9" t="s">
        <v>9</v>
      </c>
      <c r="I1003" s="9" t="s">
        <v>27</v>
      </c>
      <c r="J1003" s="9" t="s">
        <v>112</v>
      </c>
      <c r="K1003"/>
      <c r="U1003"/>
      <c r="V1003"/>
    </row>
    <row r="1004" spans="1:22" ht="18">
      <c r="A1004" s="9">
        <v>1001</v>
      </c>
      <c r="B1004" s="9">
        <v>330</v>
      </c>
      <c r="C1004" s="19">
        <v>45823</v>
      </c>
      <c r="D1004" s="11">
        <v>26.86</v>
      </c>
      <c r="E1004" s="15">
        <v>2.9</v>
      </c>
      <c r="F1004" s="12">
        <v>1.7</v>
      </c>
      <c r="G1004" s="12">
        <v>2.2999999999999998</v>
      </c>
      <c r="H1004" s="9" t="s">
        <v>9</v>
      </c>
      <c r="I1004" s="9" t="s">
        <v>27</v>
      </c>
      <c r="J1004" s="9" t="s">
        <v>112</v>
      </c>
      <c r="K1004"/>
      <c r="U1004"/>
      <c r="V1004"/>
    </row>
    <row r="1005" spans="1:22" ht="18">
      <c r="A1005" s="9">
        <v>1002</v>
      </c>
      <c r="B1005" s="9">
        <v>331</v>
      </c>
      <c r="C1005" s="19">
        <v>45823</v>
      </c>
      <c r="D1005" s="11">
        <v>18.965</v>
      </c>
      <c r="E1005" s="15">
        <v>2.25</v>
      </c>
      <c r="F1005" s="12">
        <v>2.0299999999999998</v>
      </c>
      <c r="G1005" s="12">
        <v>1.5</v>
      </c>
      <c r="H1005" s="9" t="s">
        <v>9</v>
      </c>
      <c r="I1005" s="9" t="s">
        <v>27</v>
      </c>
      <c r="J1005" s="9" t="s">
        <v>112</v>
      </c>
      <c r="K1005"/>
      <c r="U1005"/>
      <c r="V1005"/>
    </row>
    <row r="1006" spans="1:22" ht="18">
      <c r="A1006" s="9">
        <v>1003</v>
      </c>
      <c r="B1006" s="9">
        <v>332</v>
      </c>
      <c r="C1006" s="19">
        <v>45823</v>
      </c>
      <c r="D1006" s="11">
        <v>14.35</v>
      </c>
      <c r="E1006" s="15">
        <v>2.0299999999999998</v>
      </c>
      <c r="F1006" s="12">
        <v>1.4</v>
      </c>
      <c r="G1006" s="12">
        <v>1.8</v>
      </c>
      <c r="H1006" s="9" t="s">
        <v>9</v>
      </c>
      <c r="I1006" s="9" t="s">
        <v>27</v>
      </c>
      <c r="J1006" s="9" t="s">
        <v>112</v>
      </c>
      <c r="K1006"/>
      <c r="U1006"/>
      <c r="V1006"/>
    </row>
    <row r="1007" spans="1:22" ht="18">
      <c r="A1007" s="9">
        <v>1004</v>
      </c>
      <c r="B1007" s="9">
        <v>333</v>
      </c>
      <c r="C1007" s="19">
        <v>45824</v>
      </c>
      <c r="D1007" s="11">
        <v>21.17</v>
      </c>
      <c r="E1007" s="15">
        <v>3.05</v>
      </c>
      <c r="F1007" s="12">
        <v>2</v>
      </c>
      <c r="G1007" s="12">
        <v>1.3</v>
      </c>
      <c r="H1007" s="9" t="s">
        <v>9</v>
      </c>
      <c r="I1007" s="9" t="s">
        <v>27</v>
      </c>
      <c r="J1007" s="9" t="s">
        <v>112</v>
      </c>
      <c r="K1007"/>
      <c r="U1007"/>
      <c r="V1007"/>
    </row>
    <row r="1008" spans="1:22" ht="18">
      <c r="A1008" s="9">
        <v>1005</v>
      </c>
      <c r="B1008" s="9">
        <v>334</v>
      </c>
      <c r="C1008" s="19">
        <v>45824</v>
      </c>
      <c r="D1008" s="11">
        <v>7.8</v>
      </c>
      <c r="E1008" s="15">
        <v>2.2999999999999998</v>
      </c>
      <c r="F1008" s="12">
        <v>1.03</v>
      </c>
      <c r="G1008" s="12">
        <v>1.2</v>
      </c>
      <c r="H1008" s="9" t="s">
        <v>9</v>
      </c>
      <c r="I1008" s="9" t="s">
        <v>27</v>
      </c>
      <c r="J1008" s="9" t="s">
        <v>112</v>
      </c>
      <c r="K1008"/>
      <c r="U1008"/>
      <c r="V1008"/>
    </row>
    <row r="1009" spans="1:22" ht="18">
      <c r="A1009" s="9">
        <v>1006</v>
      </c>
      <c r="B1009" s="9">
        <v>335</v>
      </c>
      <c r="C1009" s="19">
        <v>45824</v>
      </c>
      <c r="D1009" s="11">
        <v>19.695</v>
      </c>
      <c r="E1009" s="15">
        <v>2.4300000000000002</v>
      </c>
      <c r="F1009" s="12">
        <v>2.04</v>
      </c>
      <c r="G1009" s="12">
        <v>1.5</v>
      </c>
      <c r="H1009" s="9" t="s">
        <v>9</v>
      </c>
      <c r="I1009" s="9" t="s">
        <v>27</v>
      </c>
      <c r="J1009" s="9" t="s">
        <v>112</v>
      </c>
      <c r="K1009"/>
      <c r="U1009"/>
      <c r="V1009"/>
    </row>
    <row r="1010" spans="1:22" ht="18">
      <c r="A1010" s="9">
        <v>1007</v>
      </c>
      <c r="B1010" s="9">
        <v>336</v>
      </c>
      <c r="C1010" s="19">
        <v>45824</v>
      </c>
      <c r="D1010" s="11">
        <v>16.59</v>
      </c>
      <c r="E1010" s="15">
        <v>2.35</v>
      </c>
      <c r="F1010" s="12">
        <v>1.94</v>
      </c>
      <c r="G1010" s="12">
        <v>1.6</v>
      </c>
      <c r="H1010" s="9" t="s">
        <v>9</v>
      </c>
      <c r="I1010" s="9" t="s">
        <v>27</v>
      </c>
      <c r="J1010" s="9" t="s">
        <v>112</v>
      </c>
      <c r="K1010"/>
      <c r="U1010"/>
      <c r="V1010"/>
    </row>
    <row r="1011" spans="1:22" ht="18">
      <c r="A1011" s="9">
        <v>1008</v>
      </c>
      <c r="B1011" s="9">
        <v>337</v>
      </c>
      <c r="C1011" s="19">
        <v>45824</v>
      </c>
      <c r="D1011" s="11">
        <v>16.954999999999998</v>
      </c>
      <c r="E1011" s="15">
        <v>2.0299999999999998</v>
      </c>
      <c r="F1011" s="12">
        <v>1.7</v>
      </c>
      <c r="G1011" s="12">
        <v>1.7</v>
      </c>
      <c r="H1011" s="9" t="s">
        <v>9</v>
      </c>
      <c r="I1011" s="9" t="s">
        <v>27</v>
      </c>
      <c r="J1011" s="9" t="s">
        <v>112</v>
      </c>
      <c r="K1011"/>
      <c r="U1011"/>
      <c r="V1011"/>
    </row>
    <row r="1012" spans="1:22" ht="18">
      <c r="A1012" s="9">
        <v>1009</v>
      </c>
      <c r="B1012" s="9">
        <v>338</v>
      </c>
      <c r="C1012" s="19">
        <v>45824</v>
      </c>
      <c r="D1012" s="11">
        <v>21.725000000000001</v>
      </c>
      <c r="E1012" s="15">
        <v>2.9</v>
      </c>
      <c r="F1012" s="12">
        <v>1.9</v>
      </c>
      <c r="G1012" s="12">
        <v>1.53</v>
      </c>
      <c r="H1012" s="9" t="s">
        <v>9</v>
      </c>
      <c r="I1012" s="9" t="s">
        <v>27</v>
      </c>
      <c r="J1012" s="9" t="s">
        <v>112</v>
      </c>
      <c r="K1012"/>
      <c r="U1012"/>
      <c r="V1012"/>
    </row>
    <row r="1013" spans="1:22" ht="18">
      <c r="A1013" s="9">
        <v>1010</v>
      </c>
      <c r="B1013" s="9">
        <v>339</v>
      </c>
      <c r="C1013" s="19">
        <v>45832</v>
      </c>
      <c r="D1013" s="11">
        <v>25.65</v>
      </c>
      <c r="E1013" s="15">
        <v>3</v>
      </c>
      <c r="F1013" s="12">
        <v>2</v>
      </c>
      <c r="G1013" s="12">
        <v>1.6</v>
      </c>
      <c r="H1013" s="9" t="s">
        <v>9</v>
      </c>
      <c r="I1013" s="9" t="s">
        <v>27</v>
      </c>
      <c r="J1013" s="9" t="s">
        <v>112</v>
      </c>
      <c r="K1013"/>
      <c r="U1013"/>
      <c r="V1013"/>
    </row>
    <row r="1014" spans="1:22" ht="18">
      <c r="A1014" s="9">
        <v>1011</v>
      </c>
      <c r="B1014" s="9">
        <v>340</v>
      </c>
      <c r="C1014" s="19">
        <v>45832</v>
      </c>
      <c r="D1014" s="11">
        <v>27.664999999999999</v>
      </c>
      <c r="E1014" s="15">
        <v>2.8</v>
      </c>
      <c r="F1014" s="12">
        <v>1.95</v>
      </c>
      <c r="G1014" s="12">
        <v>1.95</v>
      </c>
      <c r="H1014" s="9" t="s">
        <v>9</v>
      </c>
      <c r="I1014" s="9" t="s">
        <v>27</v>
      </c>
      <c r="J1014" s="9" t="s">
        <v>109</v>
      </c>
      <c r="K1014"/>
      <c r="U1014"/>
      <c r="V1014"/>
    </row>
    <row r="1015" spans="1:22" ht="18">
      <c r="A1015" s="9">
        <v>1012</v>
      </c>
      <c r="B1015" s="9">
        <v>341</v>
      </c>
      <c r="C1015" s="19">
        <v>45833</v>
      </c>
      <c r="D1015" s="11">
        <v>32.17</v>
      </c>
      <c r="E1015" s="15">
        <v>2.9</v>
      </c>
      <c r="F1015" s="12">
        <v>2</v>
      </c>
      <c r="G1015" s="12">
        <v>2.0499999999999998</v>
      </c>
      <c r="H1015" s="9" t="s">
        <v>9</v>
      </c>
      <c r="I1015" s="9" t="s">
        <v>27</v>
      </c>
      <c r="J1015" s="9" t="s">
        <v>109</v>
      </c>
      <c r="K1015"/>
      <c r="U1015"/>
      <c r="V1015"/>
    </row>
    <row r="1016" spans="1:22" ht="18">
      <c r="A1016" s="9">
        <v>1013</v>
      </c>
      <c r="B1016" s="9">
        <v>342</v>
      </c>
      <c r="C1016" s="19">
        <v>45833</v>
      </c>
      <c r="D1016" s="11">
        <v>11.5</v>
      </c>
      <c r="E1016" s="15">
        <v>2.4</v>
      </c>
      <c r="F1016" s="12">
        <v>2.1</v>
      </c>
      <c r="G1016" s="12">
        <v>0.9</v>
      </c>
      <c r="H1016" s="9" t="s">
        <v>9</v>
      </c>
      <c r="I1016" s="9" t="s">
        <v>27</v>
      </c>
      <c r="J1016" s="9" t="s">
        <v>109</v>
      </c>
      <c r="K1016"/>
      <c r="U1016"/>
      <c r="V1016"/>
    </row>
    <row r="1017" spans="1:22" ht="18">
      <c r="A1017" s="9">
        <v>1014</v>
      </c>
      <c r="B1017" s="9">
        <v>343</v>
      </c>
      <c r="C1017" s="19">
        <v>45833</v>
      </c>
      <c r="D1017" s="11">
        <v>20.73</v>
      </c>
      <c r="E1017" s="15">
        <v>2.9</v>
      </c>
      <c r="F1017" s="12">
        <v>2.06</v>
      </c>
      <c r="G1017" s="12">
        <v>1.43</v>
      </c>
      <c r="H1017" s="9" t="s">
        <v>9</v>
      </c>
      <c r="I1017" s="9" t="s">
        <v>27</v>
      </c>
      <c r="J1017" s="9" t="s">
        <v>109</v>
      </c>
      <c r="K1017"/>
      <c r="U1017"/>
      <c r="V1017"/>
    </row>
    <row r="1018" spans="1:22" ht="18">
      <c r="A1018" s="9">
        <v>1015</v>
      </c>
      <c r="B1018" s="9">
        <v>344</v>
      </c>
      <c r="C1018" s="19">
        <v>45833</v>
      </c>
      <c r="D1018" s="11">
        <v>23.4</v>
      </c>
      <c r="E1018" s="15">
        <v>2.95</v>
      </c>
      <c r="F1018" s="12">
        <v>2.04</v>
      </c>
      <c r="G1018" s="12">
        <v>1.46</v>
      </c>
      <c r="H1018" s="9" t="s">
        <v>9</v>
      </c>
      <c r="I1018" s="9" t="s">
        <v>27</v>
      </c>
      <c r="J1018" s="9" t="s">
        <v>109</v>
      </c>
      <c r="K1018"/>
      <c r="U1018"/>
      <c r="V1018"/>
    </row>
    <row r="1019" spans="1:22" ht="18">
      <c r="A1019" s="9">
        <v>1016</v>
      </c>
      <c r="B1019" s="9">
        <v>345</v>
      </c>
      <c r="C1019" s="19">
        <v>45833</v>
      </c>
      <c r="D1019" s="11">
        <v>23.87</v>
      </c>
      <c r="E1019" s="15">
        <v>2.5499999999999998</v>
      </c>
      <c r="F1019" s="12">
        <v>2.0099999999999998</v>
      </c>
      <c r="G1019" s="12">
        <v>1.8</v>
      </c>
      <c r="H1019" s="9" t="s">
        <v>9</v>
      </c>
      <c r="I1019" s="9" t="s">
        <v>27</v>
      </c>
      <c r="J1019" s="9" t="s">
        <v>109</v>
      </c>
      <c r="K1019"/>
      <c r="U1019"/>
      <c r="V1019"/>
    </row>
    <row r="1020" spans="1:22" ht="18">
      <c r="A1020" s="9">
        <v>1017</v>
      </c>
      <c r="B1020" s="9">
        <v>346</v>
      </c>
      <c r="C1020" s="19">
        <v>45834</v>
      </c>
      <c r="D1020" s="11">
        <v>30.03</v>
      </c>
      <c r="E1020" s="15">
        <v>2.91</v>
      </c>
      <c r="F1020" s="12">
        <v>2.0299999999999998</v>
      </c>
      <c r="G1020" s="12">
        <v>1.96</v>
      </c>
      <c r="H1020" s="9" t="s">
        <v>9</v>
      </c>
      <c r="I1020" s="9" t="s">
        <v>27</v>
      </c>
      <c r="J1020" s="9" t="s">
        <v>109</v>
      </c>
      <c r="K1020"/>
      <c r="U1020"/>
      <c r="V1020"/>
    </row>
    <row r="1021" spans="1:22" ht="18">
      <c r="A1021" s="9">
        <v>1018</v>
      </c>
      <c r="B1021" s="9">
        <v>347</v>
      </c>
      <c r="C1021" s="19">
        <v>45834</v>
      </c>
      <c r="D1021" s="11">
        <v>24</v>
      </c>
      <c r="E1021" s="15">
        <v>2.65</v>
      </c>
      <c r="F1021" s="12">
        <v>1.92</v>
      </c>
      <c r="G1021" s="12">
        <v>1.77</v>
      </c>
      <c r="H1021" s="9" t="s">
        <v>9</v>
      </c>
      <c r="I1021" s="9" t="s">
        <v>27</v>
      </c>
      <c r="J1021" s="9" t="s">
        <v>109</v>
      </c>
      <c r="K1021"/>
      <c r="U1021"/>
      <c r="V1021"/>
    </row>
    <row r="1022" spans="1:22" ht="18">
      <c r="A1022" s="9">
        <v>1019</v>
      </c>
      <c r="B1022" s="9">
        <v>348</v>
      </c>
      <c r="C1022" s="19">
        <v>45839</v>
      </c>
      <c r="D1022" s="11">
        <v>28.2</v>
      </c>
      <c r="E1022" s="15">
        <v>3.7</v>
      </c>
      <c r="F1022" s="12">
        <v>1.97</v>
      </c>
      <c r="G1022" s="12">
        <v>1.5</v>
      </c>
      <c r="H1022" s="9" t="s">
        <v>9</v>
      </c>
      <c r="I1022" s="9" t="s">
        <v>27</v>
      </c>
      <c r="J1022" s="9" t="s">
        <v>109</v>
      </c>
      <c r="K1022"/>
      <c r="U1022"/>
      <c r="V1022"/>
    </row>
    <row r="1023" spans="1:22" ht="18">
      <c r="A1023" s="9">
        <v>1020</v>
      </c>
      <c r="B1023" s="9">
        <v>349</v>
      </c>
      <c r="C1023" s="19">
        <v>45854</v>
      </c>
      <c r="D1023" s="11">
        <v>23.4</v>
      </c>
      <c r="E1023" s="15">
        <v>2.9</v>
      </c>
      <c r="F1023" s="12">
        <v>1.8</v>
      </c>
      <c r="G1023" s="12">
        <v>1.67</v>
      </c>
      <c r="H1023" s="9" t="s">
        <v>9</v>
      </c>
      <c r="I1023" s="9" t="s">
        <v>27</v>
      </c>
      <c r="J1023" s="9" t="s">
        <v>109</v>
      </c>
      <c r="K1023"/>
      <c r="U1023"/>
      <c r="V1023"/>
    </row>
    <row r="1024" spans="1:22" ht="18">
      <c r="A1024" s="9">
        <v>1021</v>
      </c>
      <c r="B1024" s="9">
        <v>350</v>
      </c>
      <c r="C1024" s="19">
        <v>45854</v>
      </c>
      <c r="D1024" s="11">
        <v>32.799999999999997</v>
      </c>
      <c r="E1024" s="15">
        <v>3.1</v>
      </c>
      <c r="F1024" s="12">
        <v>2.0699999999999998</v>
      </c>
      <c r="G1024" s="12">
        <v>1.98</v>
      </c>
      <c r="H1024" s="9" t="s">
        <v>9</v>
      </c>
      <c r="I1024" s="9" t="s">
        <v>27</v>
      </c>
      <c r="J1024" s="9" t="s">
        <v>109</v>
      </c>
      <c r="K1024"/>
      <c r="U1024"/>
      <c r="V1024"/>
    </row>
    <row r="1025" spans="1:22" ht="18">
      <c r="A1025" s="9">
        <v>1022</v>
      </c>
      <c r="B1025" s="9">
        <v>351</v>
      </c>
      <c r="C1025" s="19">
        <v>45854</v>
      </c>
      <c r="D1025" s="11">
        <v>29.7</v>
      </c>
      <c r="E1025" s="15">
        <v>3.03</v>
      </c>
      <c r="F1025" s="12">
        <v>1.97</v>
      </c>
      <c r="G1025" s="12">
        <v>1.92</v>
      </c>
      <c r="H1025" s="9" t="s">
        <v>9</v>
      </c>
      <c r="I1025" s="9" t="s">
        <v>27</v>
      </c>
      <c r="J1025" s="9" t="s">
        <v>118</v>
      </c>
      <c r="K1025"/>
      <c r="U1025"/>
      <c r="V1025"/>
    </row>
    <row r="1026" spans="1:22" ht="18">
      <c r="A1026" s="9">
        <v>1023</v>
      </c>
      <c r="B1026" s="9">
        <v>352</v>
      </c>
      <c r="C1026" s="19">
        <v>45855</v>
      </c>
      <c r="D1026" s="11">
        <v>27.1</v>
      </c>
      <c r="E1026" s="15">
        <v>2.25</v>
      </c>
      <c r="F1026" s="12">
        <v>2.1</v>
      </c>
      <c r="G1026" s="12">
        <v>2.1</v>
      </c>
      <c r="H1026" s="9" t="s">
        <v>9</v>
      </c>
      <c r="I1026" s="9" t="s">
        <v>27</v>
      </c>
      <c r="J1026" s="9" t="s">
        <v>107</v>
      </c>
      <c r="K1026"/>
      <c r="U1026"/>
      <c r="V1026"/>
    </row>
    <row r="1027" spans="1:22" ht="18">
      <c r="A1027" s="9">
        <v>1024</v>
      </c>
      <c r="B1027" s="9">
        <v>353</v>
      </c>
      <c r="C1027" s="19">
        <v>45855</v>
      </c>
      <c r="D1027" s="11">
        <v>29.74</v>
      </c>
      <c r="E1027" s="15">
        <v>3</v>
      </c>
      <c r="F1027" s="12">
        <v>1.9</v>
      </c>
      <c r="G1027" s="12">
        <v>1.93</v>
      </c>
      <c r="H1027" s="9" t="s">
        <v>9</v>
      </c>
      <c r="I1027" s="9" t="s">
        <v>27</v>
      </c>
      <c r="J1027" s="9" t="s">
        <v>107</v>
      </c>
      <c r="K1027"/>
      <c r="U1027"/>
      <c r="V1027"/>
    </row>
    <row r="1028" spans="1:22" ht="18">
      <c r="A1028" s="9">
        <v>1025</v>
      </c>
      <c r="B1028" s="9">
        <v>354</v>
      </c>
      <c r="C1028" s="19">
        <v>45856</v>
      </c>
      <c r="D1028" s="11">
        <v>28.54</v>
      </c>
      <c r="E1028" s="15">
        <v>2.9</v>
      </c>
      <c r="F1028" s="12">
        <v>2.14</v>
      </c>
      <c r="G1028" s="12">
        <v>1.8</v>
      </c>
      <c r="H1028" s="9" t="s">
        <v>9</v>
      </c>
      <c r="I1028" s="9" t="s">
        <v>27</v>
      </c>
      <c r="J1028" s="9" t="s">
        <v>107</v>
      </c>
      <c r="K1028"/>
      <c r="U1028"/>
      <c r="V1028"/>
    </row>
    <row r="1029" spans="1:22" ht="18">
      <c r="A1029" s="9">
        <v>1026</v>
      </c>
      <c r="B1029" s="9">
        <v>355</v>
      </c>
      <c r="C1029" s="19">
        <v>45857</v>
      </c>
      <c r="D1029" s="11">
        <v>19.75</v>
      </c>
      <c r="E1029" s="15">
        <v>2.38</v>
      </c>
      <c r="F1029" s="12">
        <v>2.0699999999999998</v>
      </c>
      <c r="G1029" s="12">
        <v>1.7</v>
      </c>
      <c r="H1029" s="9" t="s">
        <v>9</v>
      </c>
      <c r="I1029" s="9" t="s">
        <v>27</v>
      </c>
      <c r="J1029" s="9" t="s">
        <v>107</v>
      </c>
      <c r="K1029"/>
      <c r="U1029"/>
      <c r="V1029"/>
    </row>
    <row r="1030" spans="1:22" ht="18">
      <c r="A1030" s="9">
        <v>1027</v>
      </c>
      <c r="B1030" s="9">
        <v>356</v>
      </c>
      <c r="C1030" s="19">
        <v>45857</v>
      </c>
      <c r="D1030" s="11">
        <v>22.8</v>
      </c>
      <c r="E1030" s="15">
        <v>3.1</v>
      </c>
      <c r="F1030" s="12">
        <v>2.0499999999999998</v>
      </c>
      <c r="G1030" s="12">
        <v>1.7</v>
      </c>
      <c r="H1030" s="9" t="s">
        <v>9</v>
      </c>
      <c r="I1030" s="9" t="s">
        <v>27</v>
      </c>
      <c r="J1030" s="9" t="s">
        <v>107</v>
      </c>
      <c r="K1030"/>
      <c r="U1030"/>
      <c r="V1030"/>
    </row>
    <row r="1031" spans="1:22" ht="18">
      <c r="A1031" s="9">
        <v>1028</v>
      </c>
      <c r="B1031" s="9">
        <v>357</v>
      </c>
      <c r="C1031" s="19">
        <v>45858</v>
      </c>
      <c r="D1031" s="11">
        <v>27.6</v>
      </c>
      <c r="E1031" s="15">
        <v>2.8</v>
      </c>
      <c r="F1031" s="12">
        <v>2</v>
      </c>
      <c r="G1031" s="12">
        <v>1.95</v>
      </c>
      <c r="H1031" s="9" t="s">
        <v>9</v>
      </c>
      <c r="I1031" s="9" t="s">
        <v>27</v>
      </c>
      <c r="J1031" s="9" t="s">
        <v>107</v>
      </c>
      <c r="K1031"/>
      <c r="U1031"/>
      <c r="V1031"/>
    </row>
    <row r="1032" spans="1:22" ht="18">
      <c r="A1032" s="9">
        <v>1029</v>
      </c>
      <c r="B1032" s="9">
        <v>358</v>
      </c>
      <c r="C1032" s="19">
        <v>45858</v>
      </c>
      <c r="D1032" s="11">
        <v>25.6</v>
      </c>
      <c r="E1032" s="15">
        <v>3.1</v>
      </c>
      <c r="F1032" s="12">
        <v>1.98</v>
      </c>
      <c r="G1032" s="12">
        <v>1.6</v>
      </c>
      <c r="H1032" s="9" t="s">
        <v>9</v>
      </c>
      <c r="I1032" s="9" t="s">
        <v>27</v>
      </c>
      <c r="J1032" s="9" t="s">
        <v>107</v>
      </c>
      <c r="K1032"/>
      <c r="U1032"/>
      <c r="V1032"/>
    </row>
    <row r="1033" spans="1:22" ht="18">
      <c r="A1033" s="9">
        <v>1030</v>
      </c>
      <c r="B1033" s="9">
        <v>359</v>
      </c>
      <c r="C1033" s="19">
        <v>45858</v>
      </c>
      <c r="D1033" s="11">
        <v>17.649999999999999</v>
      </c>
      <c r="E1033" s="15">
        <v>2.4500000000000002</v>
      </c>
      <c r="F1033" s="12">
        <v>1.7</v>
      </c>
      <c r="G1033" s="12">
        <v>1.7</v>
      </c>
      <c r="H1033" s="9" t="s">
        <v>9</v>
      </c>
      <c r="I1033" s="9" t="s">
        <v>27</v>
      </c>
      <c r="J1033" s="9" t="s">
        <v>107</v>
      </c>
      <c r="K1033"/>
      <c r="U1033"/>
      <c r="V1033"/>
    </row>
    <row r="1034" spans="1:22" ht="18">
      <c r="A1034" s="9">
        <v>1031</v>
      </c>
      <c r="B1034" s="9">
        <v>360</v>
      </c>
      <c r="C1034" s="19">
        <v>45858</v>
      </c>
      <c r="D1034" s="11">
        <v>29.6</v>
      </c>
      <c r="E1034" s="15">
        <v>3.1</v>
      </c>
      <c r="F1034" s="12">
        <v>2.15</v>
      </c>
      <c r="G1034" s="12">
        <v>1.8</v>
      </c>
      <c r="H1034" s="9" t="s">
        <v>9</v>
      </c>
      <c r="I1034" s="9" t="s">
        <v>27</v>
      </c>
      <c r="J1034" s="9" t="s">
        <v>107</v>
      </c>
      <c r="K1034"/>
      <c r="U1034"/>
      <c r="V1034"/>
    </row>
    <row r="1035" spans="1:22" ht="18">
      <c r="A1035" s="9">
        <v>1032</v>
      </c>
      <c r="B1035" s="9">
        <v>361</v>
      </c>
      <c r="C1035" s="19">
        <v>45859</v>
      </c>
      <c r="D1035" s="11">
        <v>21.45</v>
      </c>
      <c r="E1035" s="15">
        <v>3.1</v>
      </c>
      <c r="F1035" s="12">
        <v>2.12</v>
      </c>
      <c r="G1035" s="12">
        <v>1.6</v>
      </c>
      <c r="H1035" s="9" t="s">
        <v>9</v>
      </c>
      <c r="I1035" s="9" t="s">
        <v>27</v>
      </c>
      <c r="J1035" s="9" t="s">
        <v>107</v>
      </c>
      <c r="K1035"/>
      <c r="U1035"/>
      <c r="V1035"/>
    </row>
    <row r="1036" spans="1:22" ht="18">
      <c r="A1036" s="9">
        <v>1033</v>
      </c>
      <c r="B1036" s="9">
        <v>362</v>
      </c>
      <c r="C1036" s="19">
        <v>45859</v>
      </c>
      <c r="D1036" s="11">
        <v>26.4</v>
      </c>
      <c r="E1036" s="15">
        <v>2.8</v>
      </c>
      <c r="F1036" s="12">
        <v>1.98</v>
      </c>
      <c r="G1036" s="12">
        <v>1.9</v>
      </c>
      <c r="H1036" s="9" t="s">
        <v>9</v>
      </c>
      <c r="I1036" s="9" t="s">
        <v>27</v>
      </c>
      <c r="J1036" s="9" t="s">
        <v>107</v>
      </c>
      <c r="K1036"/>
      <c r="U1036"/>
      <c r="V1036"/>
    </row>
    <row r="1037" spans="1:22" ht="18">
      <c r="A1037" s="9">
        <v>1034</v>
      </c>
      <c r="B1037" s="9">
        <v>363</v>
      </c>
      <c r="C1037" s="19">
        <v>45859</v>
      </c>
      <c r="D1037" s="11">
        <v>23.225000000000001</v>
      </c>
      <c r="E1037" s="15">
        <v>3</v>
      </c>
      <c r="F1037" s="12">
        <v>1.9</v>
      </c>
      <c r="G1037" s="12">
        <v>1.7</v>
      </c>
      <c r="H1037" s="9" t="s">
        <v>9</v>
      </c>
      <c r="I1037" s="9" t="s">
        <v>27</v>
      </c>
      <c r="J1037" s="9" t="s">
        <v>107</v>
      </c>
      <c r="K1037"/>
      <c r="U1037"/>
      <c r="V1037"/>
    </row>
    <row r="1038" spans="1:22" ht="18">
      <c r="A1038" s="9">
        <v>1035</v>
      </c>
      <c r="B1038" s="9">
        <v>364</v>
      </c>
      <c r="C1038" s="19">
        <v>45860</v>
      </c>
      <c r="D1038" s="11">
        <v>25.2</v>
      </c>
      <c r="E1038" s="15">
        <v>2.7</v>
      </c>
      <c r="F1038" s="12">
        <v>1.9</v>
      </c>
      <c r="G1038" s="12">
        <v>1.8</v>
      </c>
      <c r="H1038" s="9" t="s">
        <v>9</v>
      </c>
      <c r="I1038" s="9" t="s">
        <v>27</v>
      </c>
      <c r="J1038" s="9" t="s">
        <v>107</v>
      </c>
      <c r="K1038"/>
      <c r="U1038"/>
      <c r="V1038"/>
    </row>
    <row r="1039" spans="1:22" ht="18">
      <c r="A1039" s="9">
        <v>1036</v>
      </c>
      <c r="B1039" s="9">
        <v>365</v>
      </c>
      <c r="C1039" s="19">
        <v>45860</v>
      </c>
      <c r="D1039" s="11">
        <v>28.1</v>
      </c>
      <c r="E1039" s="15">
        <v>3</v>
      </c>
      <c r="F1039" s="12">
        <v>2.0299999999999998</v>
      </c>
      <c r="G1039" s="12">
        <v>1.7</v>
      </c>
      <c r="H1039" s="9" t="s">
        <v>9</v>
      </c>
      <c r="I1039" s="9" t="s">
        <v>27</v>
      </c>
      <c r="J1039" s="9" t="s">
        <v>107</v>
      </c>
      <c r="K1039"/>
      <c r="U1039"/>
      <c r="V1039"/>
    </row>
    <row r="1040" spans="1:22" ht="18">
      <c r="A1040" s="9">
        <v>1037</v>
      </c>
      <c r="B1040" s="9">
        <v>366</v>
      </c>
      <c r="C1040" s="19">
        <v>45860</v>
      </c>
      <c r="D1040" s="11">
        <v>19.5</v>
      </c>
      <c r="E1040" s="15">
        <v>2.1</v>
      </c>
      <c r="F1040" s="12">
        <v>2.04</v>
      </c>
      <c r="G1040" s="12">
        <v>1.95</v>
      </c>
      <c r="H1040" s="9" t="s">
        <v>9</v>
      </c>
      <c r="I1040" s="9" t="s">
        <v>27</v>
      </c>
      <c r="J1040" s="9" t="s">
        <v>107</v>
      </c>
      <c r="K1040"/>
      <c r="U1040"/>
      <c r="V1040"/>
    </row>
    <row r="1041" spans="1:22" ht="18">
      <c r="A1041" s="9">
        <v>1038</v>
      </c>
      <c r="B1041" s="9">
        <v>367</v>
      </c>
      <c r="C1041" s="19">
        <v>45860</v>
      </c>
      <c r="D1041" s="11">
        <v>21.4</v>
      </c>
      <c r="E1041" s="15">
        <v>3.5</v>
      </c>
      <c r="F1041" s="12">
        <v>2</v>
      </c>
      <c r="G1041" s="12">
        <v>1.8</v>
      </c>
      <c r="H1041" s="9" t="s">
        <v>9</v>
      </c>
      <c r="I1041" s="9" t="s">
        <v>27</v>
      </c>
      <c r="J1041" s="9" t="s">
        <v>107</v>
      </c>
      <c r="K1041"/>
      <c r="U1041"/>
      <c r="V1041"/>
    </row>
    <row r="1042" spans="1:22" ht="18">
      <c r="A1042" s="9">
        <v>1039</v>
      </c>
      <c r="B1042" s="9">
        <v>368</v>
      </c>
      <c r="C1042" s="19">
        <v>45861</v>
      </c>
      <c r="D1042" s="11">
        <v>23.5</v>
      </c>
      <c r="E1042" s="15">
        <v>2.35</v>
      </c>
      <c r="F1042" s="12">
        <v>2.0499999999999998</v>
      </c>
      <c r="G1042" s="12">
        <v>1.98</v>
      </c>
      <c r="H1042" s="9" t="s">
        <v>9</v>
      </c>
      <c r="I1042" s="9" t="s">
        <v>27</v>
      </c>
      <c r="J1042" s="9" t="s">
        <v>107</v>
      </c>
      <c r="K1042"/>
      <c r="U1042"/>
      <c r="V1042"/>
    </row>
    <row r="1043" spans="1:22" ht="18">
      <c r="A1043" s="9">
        <v>1040</v>
      </c>
      <c r="B1043" s="9">
        <v>369</v>
      </c>
      <c r="C1043" s="19">
        <v>45864</v>
      </c>
      <c r="D1043" s="11">
        <v>20.13</v>
      </c>
      <c r="E1043" s="15">
        <v>3</v>
      </c>
      <c r="F1043" s="12">
        <v>1.65</v>
      </c>
      <c r="G1043" s="12">
        <v>1.5</v>
      </c>
      <c r="H1043" s="9" t="s">
        <v>9</v>
      </c>
      <c r="I1043" s="9" t="s">
        <v>27</v>
      </c>
      <c r="J1043" s="9" t="s">
        <v>110</v>
      </c>
      <c r="K1043"/>
      <c r="U1043"/>
      <c r="V1043"/>
    </row>
    <row r="1044" spans="1:22" ht="18">
      <c r="A1044" s="9">
        <v>1041</v>
      </c>
      <c r="B1044" s="9">
        <v>370</v>
      </c>
      <c r="C1044" s="19">
        <v>45865</v>
      </c>
      <c r="D1044" s="11">
        <v>23.35</v>
      </c>
      <c r="E1044" s="15">
        <v>2.7</v>
      </c>
      <c r="F1044" s="12">
        <v>1.9</v>
      </c>
      <c r="G1044" s="12">
        <v>1.75</v>
      </c>
      <c r="H1044" s="9" t="s">
        <v>9</v>
      </c>
      <c r="I1044" s="9" t="s">
        <v>27</v>
      </c>
      <c r="J1044" s="9" t="s">
        <v>110</v>
      </c>
      <c r="K1044"/>
      <c r="U1044"/>
      <c r="V1044"/>
    </row>
    <row r="1045" spans="1:22" ht="18">
      <c r="A1045" s="9">
        <v>1042</v>
      </c>
      <c r="B1045" s="9">
        <v>371</v>
      </c>
      <c r="C1045" s="19">
        <v>45865</v>
      </c>
      <c r="D1045" s="11">
        <v>20.75</v>
      </c>
      <c r="E1045" s="15">
        <v>3</v>
      </c>
      <c r="F1045" s="12">
        <v>1.95</v>
      </c>
      <c r="G1045" s="12">
        <v>1.6</v>
      </c>
      <c r="H1045" s="9" t="s">
        <v>9</v>
      </c>
      <c r="I1045" s="9" t="s">
        <v>27</v>
      </c>
      <c r="J1045" s="9" t="s">
        <v>110</v>
      </c>
      <c r="K1045"/>
      <c r="U1045"/>
      <c r="V1045"/>
    </row>
    <row r="1046" spans="1:22" ht="18">
      <c r="A1046" s="9">
        <v>1043</v>
      </c>
      <c r="B1046" s="9">
        <v>372</v>
      </c>
      <c r="C1046" s="19">
        <v>45865</v>
      </c>
      <c r="D1046" s="11">
        <v>23.7</v>
      </c>
      <c r="E1046" s="15">
        <v>2.7</v>
      </c>
      <c r="F1046" s="12">
        <v>1.9</v>
      </c>
      <c r="G1046" s="12">
        <v>1.65</v>
      </c>
      <c r="H1046" s="9" t="s">
        <v>9</v>
      </c>
      <c r="I1046" s="9" t="s">
        <v>27</v>
      </c>
      <c r="J1046" s="9" t="s">
        <v>110</v>
      </c>
      <c r="K1046"/>
      <c r="U1046"/>
      <c r="V1046"/>
    </row>
    <row r="1047" spans="1:22" ht="18">
      <c r="A1047" s="9">
        <v>1044</v>
      </c>
      <c r="B1047" s="9">
        <v>373</v>
      </c>
      <c r="C1047" s="19">
        <v>45865</v>
      </c>
      <c r="D1047" s="11">
        <v>25.25</v>
      </c>
      <c r="E1047" s="15">
        <v>2.75</v>
      </c>
      <c r="F1047" s="12">
        <v>2.2000000000000002</v>
      </c>
      <c r="G1047" s="12">
        <v>1.8</v>
      </c>
      <c r="H1047" s="9" t="s">
        <v>9</v>
      </c>
      <c r="I1047" s="9" t="s">
        <v>27</v>
      </c>
      <c r="J1047" s="9" t="s">
        <v>110</v>
      </c>
      <c r="K1047"/>
      <c r="U1047"/>
      <c r="V1047"/>
    </row>
    <row r="1048" spans="1:22" ht="18">
      <c r="A1048" s="9">
        <v>1045</v>
      </c>
      <c r="B1048" s="9">
        <v>374</v>
      </c>
      <c r="C1048" s="19">
        <v>45865</v>
      </c>
      <c r="D1048" s="11">
        <v>19.2</v>
      </c>
      <c r="E1048" s="15">
        <v>2.93</v>
      </c>
      <c r="F1048" s="12">
        <v>1.7</v>
      </c>
      <c r="G1048" s="12">
        <v>1.6</v>
      </c>
      <c r="H1048" s="9" t="s">
        <v>9</v>
      </c>
      <c r="I1048" s="9" t="s">
        <v>27</v>
      </c>
      <c r="J1048" s="9" t="s">
        <v>110</v>
      </c>
      <c r="K1048"/>
      <c r="U1048"/>
      <c r="V1048"/>
    </row>
    <row r="1049" spans="1:22" ht="18" hidden="1">
      <c r="A1049" s="9">
        <v>1046</v>
      </c>
      <c r="B1049" s="9">
        <v>375</v>
      </c>
      <c r="C1049" s="19">
        <v>45866</v>
      </c>
      <c r="D1049" s="11">
        <v>19.305</v>
      </c>
      <c r="E1049" s="15"/>
      <c r="F1049" s="12"/>
      <c r="G1049" s="12"/>
      <c r="H1049" s="9" t="s">
        <v>9</v>
      </c>
      <c r="I1049" s="9" t="s">
        <v>10</v>
      </c>
      <c r="J1049" s="9" t="s">
        <v>119</v>
      </c>
      <c r="K1049"/>
      <c r="U1049"/>
      <c r="V1049"/>
    </row>
    <row r="1050" spans="1:22" ht="18" hidden="1">
      <c r="A1050" s="9">
        <v>1047</v>
      </c>
      <c r="B1050" s="9">
        <v>376</v>
      </c>
      <c r="C1050" s="19">
        <v>45866</v>
      </c>
      <c r="D1050" s="11">
        <v>20.5</v>
      </c>
      <c r="E1050" s="15"/>
      <c r="F1050" s="12"/>
      <c r="G1050" s="12"/>
      <c r="H1050" s="9" t="s">
        <v>9</v>
      </c>
      <c r="I1050" s="9" t="s">
        <v>10</v>
      </c>
      <c r="J1050" s="9" t="s">
        <v>119</v>
      </c>
      <c r="K1050"/>
      <c r="U1050"/>
      <c r="V1050"/>
    </row>
    <row r="1051" spans="1:22" ht="18">
      <c r="A1051" s="9">
        <v>1048</v>
      </c>
      <c r="B1051" s="9">
        <v>377</v>
      </c>
      <c r="C1051" s="19">
        <v>45866</v>
      </c>
      <c r="D1051" s="11">
        <v>22.13</v>
      </c>
      <c r="E1051" s="15">
        <v>3.1</v>
      </c>
      <c r="F1051" s="12">
        <v>2.0499999999999998</v>
      </c>
      <c r="G1051" s="12">
        <v>1.4</v>
      </c>
      <c r="H1051" s="9" t="s">
        <v>9</v>
      </c>
      <c r="I1051" s="9" t="s">
        <v>27</v>
      </c>
      <c r="J1051" s="9" t="s">
        <v>110</v>
      </c>
      <c r="K1051"/>
      <c r="U1051"/>
      <c r="V1051"/>
    </row>
    <row r="1052" spans="1:22" ht="18">
      <c r="A1052" s="9">
        <v>1049</v>
      </c>
      <c r="B1052" s="9">
        <v>378</v>
      </c>
      <c r="C1052" s="19">
        <v>45866</v>
      </c>
      <c r="D1052" s="11">
        <v>20.2</v>
      </c>
      <c r="E1052" s="15">
        <v>2.64</v>
      </c>
      <c r="F1052" s="12">
        <v>2</v>
      </c>
      <c r="G1052" s="12">
        <v>1.46</v>
      </c>
      <c r="H1052" s="9" t="s">
        <v>9</v>
      </c>
      <c r="I1052" s="9" t="s">
        <v>27</v>
      </c>
      <c r="J1052" s="9" t="s">
        <v>110</v>
      </c>
      <c r="K1052"/>
      <c r="U1052"/>
      <c r="V1052"/>
    </row>
    <row r="1053" spans="1:22" ht="18">
      <c r="A1053" s="9">
        <v>1050</v>
      </c>
      <c r="B1053" s="9">
        <v>379</v>
      </c>
      <c r="C1053" s="19">
        <v>45866</v>
      </c>
      <c r="D1053" s="11">
        <v>22</v>
      </c>
      <c r="E1053" s="15">
        <v>2.7</v>
      </c>
      <c r="F1053" s="12">
        <v>1.78</v>
      </c>
      <c r="G1053" s="12">
        <v>1.65</v>
      </c>
      <c r="H1053" s="9" t="s">
        <v>9</v>
      </c>
      <c r="I1053" s="9" t="s">
        <v>27</v>
      </c>
      <c r="J1053" s="9" t="s">
        <v>110</v>
      </c>
      <c r="K1053"/>
      <c r="U1053"/>
      <c r="V1053"/>
    </row>
    <row r="1054" spans="1:22" ht="18" hidden="1">
      <c r="A1054" s="9">
        <v>1051</v>
      </c>
      <c r="B1054" s="9">
        <v>380</v>
      </c>
      <c r="C1054" s="19">
        <v>45867</v>
      </c>
      <c r="D1054" s="11">
        <v>21.16</v>
      </c>
      <c r="E1054" s="15">
        <v>3</v>
      </c>
      <c r="F1054" s="12">
        <v>1.9</v>
      </c>
      <c r="G1054" s="12">
        <v>1.38</v>
      </c>
      <c r="H1054" s="9" t="s">
        <v>9</v>
      </c>
      <c r="I1054" s="9" t="s">
        <v>10</v>
      </c>
      <c r="J1054" s="9" t="s">
        <v>119</v>
      </c>
      <c r="K1054"/>
      <c r="U1054"/>
      <c r="V1054"/>
    </row>
    <row r="1055" spans="1:22" ht="18">
      <c r="A1055" s="9">
        <v>1052</v>
      </c>
      <c r="B1055" s="9">
        <v>381</v>
      </c>
      <c r="C1055" s="19">
        <v>45867</v>
      </c>
      <c r="D1055" s="11">
        <v>22.574999999999999</v>
      </c>
      <c r="E1055" s="15">
        <v>2.88</v>
      </c>
      <c r="F1055" s="12">
        <v>1.95</v>
      </c>
      <c r="G1055" s="12">
        <v>1.48</v>
      </c>
      <c r="H1055" s="9" t="s">
        <v>9</v>
      </c>
      <c r="I1055" s="9" t="s">
        <v>27</v>
      </c>
      <c r="J1055" s="9" t="s">
        <v>109</v>
      </c>
      <c r="K1055"/>
      <c r="U1055"/>
      <c r="V1055"/>
    </row>
    <row r="1056" spans="1:22" ht="18" hidden="1">
      <c r="A1056" s="9">
        <v>1053</v>
      </c>
      <c r="B1056" s="9">
        <v>382</v>
      </c>
      <c r="C1056" s="19">
        <v>45867</v>
      </c>
      <c r="D1056" s="11">
        <v>16.8</v>
      </c>
      <c r="E1056" s="15">
        <v>2.2999999999999998</v>
      </c>
      <c r="F1056" s="12">
        <v>1.95</v>
      </c>
      <c r="G1056" s="12">
        <v>1.34</v>
      </c>
      <c r="H1056" s="9" t="s">
        <v>9</v>
      </c>
      <c r="I1056" s="9" t="s">
        <v>10</v>
      </c>
      <c r="J1056" s="9" t="s">
        <v>119</v>
      </c>
      <c r="K1056"/>
      <c r="U1056"/>
      <c r="V1056"/>
    </row>
    <row r="1057" spans="1:22" ht="18" hidden="1">
      <c r="A1057" s="9">
        <v>1054</v>
      </c>
      <c r="B1057" s="9">
        <v>383</v>
      </c>
      <c r="C1057" s="19">
        <v>45867</v>
      </c>
      <c r="D1057" s="11">
        <v>18.28</v>
      </c>
      <c r="E1057" s="15">
        <v>3</v>
      </c>
      <c r="F1057" s="12">
        <v>1.5</v>
      </c>
      <c r="G1057" s="12">
        <v>1.38</v>
      </c>
      <c r="H1057" s="9" t="s">
        <v>9</v>
      </c>
      <c r="I1057" s="9" t="s">
        <v>10</v>
      </c>
      <c r="J1057" s="9" t="s">
        <v>119</v>
      </c>
      <c r="K1057"/>
      <c r="U1057"/>
      <c r="V1057"/>
    </row>
    <row r="1058" spans="1:22" ht="18">
      <c r="A1058" s="9">
        <v>1055</v>
      </c>
      <c r="B1058" s="9">
        <v>384</v>
      </c>
      <c r="C1058" s="19">
        <v>45867</v>
      </c>
      <c r="D1058" s="11">
        <v>24.24</v>
      </c>
      <c r="E1058" s="15">
        <v>2.5</v>
      </c>
      <c r="F1058" s="12">
        <v>1.9</v>
      </c>
      <c r="G1058" s="12">
        <v>2.1</v>
      </c>
      <c r="H1058" s="9" t="s">
        <v>9</v>
      </c>
      <c r="I1058" s="9" t="s">
        <v>27</v>
      </c>
      <c r="J1058" s="9" t="s">
        <v>107</v>
      </c>
      <c r="K1058"/>
      <c r="U1058"/>
      <c r="V1058"/>
    </row>
    <row r="1059" spans="1:22" ht="18">
      <c r="A1059" s="9">
        <v>1056</v>
      </c>
      <c r="B1059" s="9">
        <v>385</v>
      </c>
      <c r="C1059" s="19">
        <v>45868</v>
      </c>
      <c r="D1059" s="11">
        <v>22.75</v>
      </c>
      <c r="E1059" s="15">
        <v>2.96</v>
      </c>
      <c r="F1059" s="12">
        <v>1.64</v>
      </c>
      <c r="G1059" s="12">
        <v>1.5</v>
      </c>
      <c r="H1059" s="9" t="s">
        <v>9</v>
      </c>
      <c r="I1059" s="9" t="s">
        <v>27</v>
      </c>
      <c r="J1059" s="9" t="s">
        <v>107</v>
      </c>
      <c r="K1059"/>
      <c r="U1059"/>
      <c r="V1059"/>
    </row>
    <row r="1060" spans="1:22" ht="18">
      <c r="A1060" s="9">
        <v>1057</v>
      </c>
      <c r="B1060" s="9">
        <v>386</v>
      </c>
      <c r="C1060" s="19">
        <v>45868</v>
      </c>
      <c r="D1060" s="11">
        <v>30.71</v>
      </c>
      <c r="E1060" s="15">
        <v>3.1</v>
      </c>
      <c r="F1060" s="12">
        <v>1.94</v>
      </c>
      <c r="G1060" s="12">
        <v>1.94</v>
      </c>
      <c r="H1060" s="9" t="s">
        <v>9</v>
      </c>
      <c r="I1060" s="9" t="s">
        <v>27</v>
      </c>
      <c r="J1060" s="9" t="s">
        <v>109</v>
      </c>
      <c r="K1060"/>
      <c r="U1060"/>
      <c r="V1060"/>
    </row>
    <row r="1061" spans="1:22" ht="25.5">
      <c r="A1061" s="24" t="s">
        <v>120</v>
      </c>
      <c r="B1061" s="25"/>
      <c r="C1061" s="25"/>
      <c r="D1061" s="26">
        <f>SUBTOTAL(109,Table1[وزن])</f>
        <v>5178</v>
      </c>
      <c r="E1061" s="3">
        <f>SUBTOTAL(103,Table1[طول کوپ])</f>
        <v>233</v>
      </c>
      <c r="F1061" s="27"/>
      <c r="G1061" s="27"/>
      <c r="H1061" s="25"/>
      <c r="I1061" s="28" t="s">
        <v>121</v>
      </c>
      <c r="J1061" s="28" t="e">
        <f>Table1[[#Totals],[طول کوپ]]-#REF!</f>
        <v>#REF!</v>
      </c>
      <c r="K1061"/>
      <c r="U1061"/>
      <c r="V106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Nosaz stone</dc:creator>
  <cp:lastModifiedBy>sepehr zisti</cp:lastModifiedBy>
  <dcterms:created xsi:type="dcterms:W3CDTF">2025-07-31T11:29:19Z</dcterms:created>
  <dcterms:modified xsi:type="dcterms:W3CDTF">2025-08-01T16:10:41Z</dcterms:modified>
</cp:coreProperties>
</file>